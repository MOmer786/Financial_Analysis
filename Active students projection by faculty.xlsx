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etLab\Desktop\Students_enrollment_analysis\"/>
    </mc:Choice>
  </mc:AlternateContent>
  <bookViews>
    <workbookView xWindow="0" yWindow="0" windowWidth="19200" windowHeight="6690" tabRatio="931"/>
  </bookViews>
  <sheets>
    <sheet name="Enrolment history" sheetId="31" r:id="rId1"/>
    <sheet name="OVERALL-undergraduate" sheetId="34" r:id="rId2"/>
    <sheet name="GS-OVERALL" sheetId="36" r:id="rId3"/>
    <sheet name="FACC" sheetId="8" r:id="rId4"/>
    <sheet name="FC" sheetId="11" r:id="rId5"/>
    <sheet name="FECO" sheetId="13" r:id="rId6"/>
    <sheet name="FED" sheetId="15" r:id="rId7"/>
    <sheet name="FENG" sheetId="17" r:id="rId8"/>
    <sheet name="FMS" sheetId="32" r:id="rId9"/>
    <sheet name="FSS" sheetId="30" r:id="rId10"/>
    <sheet name="FLAW" sheetId="26" r:id="rId11"/>
    <sheet name="MBBS" sheetId="28" r:id="rId12"/>
    <sheet name="Health Science" sheetId="2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31" l="1"/>
  <c r="E55" i="31"/>
  <c r="C55" i="31"/>
  <c r="D48" i="31"/>
  <c r="E48" i="31"/>
  <c r="C48" i="31"/>
  <c r="C8" i="36" l="1"/>
  <c r="C10" i="36"/>
  <c r="C7" i="36"/>
  <c r="C9" i="36"/>
  <c r="C6" i="36"/>
  <c r="C16" i="34"/>
  <c r="C20" i="34"/>
  <c r="C13" i="34"/>
  <c r="C17" i="34"/>
  <c r="C21" i="34"/>
  <c r="C14" i="34"/>
  <c r="C18" i="34"/>
  <c r="C22" i="34"/>
  <c r="C15" i="34"/>
  <c r="C19" i="34"/>
  <c r="E6" i="36" l="1"/>
  <c r="D7" i="36"/>
  <c r="D8" i="36"/>
  <c r="D6" i="36"/>
  <c r="E7" i="36"/>
  <c r="E8" i="36"/>
  <c r="D9" i="36"/>
  <c r="E10" i="36"/>
  <c r="E9" i="36"/>
  <c r="D10" i="36"/>
  <c r="D19" i="34"/>
  <c r="D22" i="34"/>
  <c r="D14" i="34"/>
  <c r="E17" i="34"/>
  <c r="E20" i="34"/>
  <c r="E18" i="34"/>
  <c r="E19" i="34"/>
  <c r="E22" i="34"/>
  <c r="E14" i="34"/>
  <c r="D17" i="34"/>
  <c r="D20" i="34"/>
  <c r="D21" i="34"/>
  <c r="D15" i="34"/>
  <c r="D18" i="34"/>
  <c r="E21" i="34"/>
  <c r="E13" i="34"/>
  <c r="E16" i="34"/>
  <c r="E15" i="34"/>
  <c r="D13" i="34"/>
  <c r="D16" i="34"/>
  <c r="L14" i="31" l="1"/>
  <c r="K14" i="31"/>
  <c r="J14" i="31"/>
  <c r="I14" i="31"/>
  <c r="H14" i="31"/>
  <c r="G14" i="31"/>
  <c r="F14" i="31"/>
  <c r="E14" i="31"/>
  <c r="D14" i="31"/>
  <c r="C14" i="31"/>
  <c r="C13" i="32"/>
  <c r="C17" i="32"/>
  <c r="C21" i="32"/>
  <c r="C18" i="32"/>
  <c r="C22" i="32"/>
  <c r="C19" i="32"/>
  <c r="C16" i="32"/>
  <c r="C20" i="32"/>
  <c r="C14" i="32"/>
  <c r="C15" i="32"/>
  <c r="D15" i="32" l="1"/>
  <c r="D20" i="32"/>
  <c r="D19" i="32"/>
  <c r="E18" i="32"/>
  <c r="E17" i="32"/>
  <c r="D16" i="32"/>
  <c r="E21" i="32"/>
  <c r="E13" i="32"/>
  <c r="E16" i="32"/>
  <c r="D22" i="32"/>
  <c r="D13" i="32"/>
  <c r="E15" i="32"/>
  <c r="E20" i="32"/>
  <c r="E19" i="32"/>
  <c r="D18" i="32"/>
  <c r="D17" i="32"/>
  <c r="E14" i="32"/>
  <c r="E22" i="32"/>
  <c r="D14" i="32"/>
  <c r="D21" i="32"/>
  <c r="C11" i="30" l="1"/>
  <c r="C15" i="30"/>
  <c r="C19" i="30"/>
  <c r="C12" i="30"/>
  <c r="C16" i="30"/>
  <c r="C20" i="30"/>
  <c r="C13" i="30"/>
  <c r="C17" i="30"/>
  <c r="C18" i="30"/>
  <c r="C14" i="30"/>
  <c r="D14" i="30" l="1"/>
  <c r="D17" i="30"/>
  <c r="E20" i="30"/>
  <c r="E12" i="30"/>
  <c r="E15" i="30"/>
  <c r="E17" i="30"/>
  <c r="D20" i="30"/>
  <c r="D12" i="30"/>
  <c r="D15" i="30"/>
  <c r="D13" i="30"/>
  <c r="E16" i="30"/>
  <c r="E19" i="30"/>
  <c r="E11" i="30"/>
  <c r="E18" i="30"/>
  <c r="E13" i="30"/>
  <c r="D16" i="30"/>
  <c r="D19" i="30"/>
  <c r="D11" i="30"/>
  <c r="E14" i="30"/>
  <c r="D18" i="30"/>
  <c r="C13" i="28" l="1"/>
  <c r="C17" i="28"/>
  <c r="C21" i="28"/>
  <c r="C19" i="28"/>
  <c r="C20" i="28"/>
  <c r="C14" i="28"/>
  <c r="C18" i="28"/>
  <c r="C22" i="28"/>
  <c r="C15" i="28"/>
  <c r="C16" i="28"/>
  <c r="C14" i="26"/>
  <c r="C18" i="26"/>
  <c r="C22" i="26"/>
  <c r="C20" i="26"/>
  <c r="C17" i="26"/>
  <c r="C15" i="26"/>
  <c r="C19" i="26"/>
  <c r="C16" i="26"/>
  <c r="C13" i="26"/>
  <c r="C21" i="26"/>
  <c r="C14" i="22"/>
  <c r="C18" i="22"/>
  <c r="C22" i="22"/>
  <c r="C15" i="22"/>
  <c r="C19" i="22"/>
  <c r="C16" i="22"/>
  <c r="C20" i="22"/>
  <c r="C13" i="22"/>
  <c r="C17" i="22"/>
  <c r="C21" i="22"/>
  <c r="C15" i="17"/>
  <c r="C19" i="17"/>
  <c r="C16" i="17"/>
  <c r="C20" i="17"/>
  <c r="C13" i="17"/>
  <c r="C17" i="17"/>
  <c r="C21" i="17"/>
  <c r="C14" i="17"/>
  <c r="C18" i="17"/>
  <c r="C22" i="17"/>
  <c r="C14" i="15"/>
  <c r="C18" i="15"/>
  <c r="C22" i="15"/>
  <c r="C20" i="15"/>
  <c r="C13" i="15"/>
  <c r="C17" i="15"/>
  <c r="C21" i="15"/>
  <c r="C15" i="15"/>
  <c r="C19" i="15"/>
  <c r="C16" i="15"/>
  <c r="C13" i="13"/>
  <c r="C17" i="13"/>
  <c r="C21" i="13"/>
  <c r="C14" i="13"/>
  <c r="C18" i="13"/>
  <c r="C22" i="13"/>
  <c r="C20" i="13"/>
  <c r="C15" i="13"/>
  <c r="C19" i="13"/>
  <c r="C16" i="13"/>
  <c r="C14" i="11"/>
  <c r="C18" i="11"/>
  <c r="C22" i="11"/>
  <c r="C15" i="11"/>
  <c r="C19" i="11"/>
  <c r="C16" i="11"/>
  <c r="C20" i="11"/>
  <c r="C13" i="11"/>
  <c r="C17" i="11"/>
  <c r="C21" i="11"/>
  <c r="C15" i="8"/>
  <c r="C16" i="8"/>
  <c r="C20" i="8"/>
  <c r="C13" i="8"/>
  <c r="C17" i="8"/>
  <c r="C21" i="8"/>
  <c r="C14" i="8"/>
  <c r="C18" i="8"/>
  <c r="C22" i="8"/>
  <c r="C19" i="8"/>
  <c r="D16" i="13"/>
  <c r="D15" i="13"/>
  <c r="E22" i="13"/>
  <c r="E14" i="13"/>
  <c r="E17" i="13"/>
  <c r="E16" i="13"/>
  <c r="E15" i="13"/>
  <c r="D22" i="13"/>
  <c r="D14" i="13"/>
  <c r="D17" i="13"/>
  <c r="D19" i="13"/>
  <c r="D20" i="13"/>
  <c r="E18" i="13"/>
  <c r="E21" i="13"/>
  <c r="E13" i="13"/>
  <c r="E19" i="13"/>
  <c r="E20" i="13"/>
  <c r="D18" i="13"/>
  <c r="D21" i="13"/>
  <c r="D13" i="13"/>
  <c r="D21" i="11"/>
  <c r="D13" i="11"/>
  <c r="D16" i="11"/>
  <c r="E15" i="11"/>
  <c r="E18" i="11"/>
  <c r="E21" i="11"/>
  <c r="E13" i="11"/>
  <c r="E16" i="11"/>
  <c r="D15" i="11"/>
  <c r="D18" i="11"/>
  <c r="D14" i="11"/>
  <c r="D17" i="11"/>
  <c r="D20" i="11"/>
  <c r="E19" i="11"/>
  <c r="E22" i="11"/>
  <c r="E14" i="11"/>
  <c r="E17" i="11"/>
  <c r="E20" i="11"/>
  <c r="D19" i="11"/>
  <c r="D22" i="11"/>
  <c r="D19" i="8"/>
  <c r="D18" i="8"/>
  <c r="E21" i="8"/>
  <c r="E13" i="8"/>
  <c r="E16" i="8"/>
  <c r="E14" i="8"/>
  <c r="E15" i="8"/>
  <c r="E19" i="8"/>
  <c r="E18" i="8"/>
  <c r="D21" i="8"/>
  <c r="D13" i="8"/>
  <c r="D16" i="8"/>
  <c r="D17" i="8"/>
  <c r="D20" i="8"/>
  <c r="D22" i="8"/>
  <c r="D14" i="8"/>
  <c r="E17" i="8"/>
  <c r="E20" i="8"/>
  <c r="D15" i="8"/>
  <c r="E22" i="8"/>
  <c r="E16" i="28" l="1"/>
  <c r="D22" i="28"/>
  <c r="D14" i="28"/>
  <c r="E19" i="28"/>
  <c r="D17" i="28"/>
  <c r="E15" i="28"/>
  <c r="D20" i="28"/>
  <c r="D13" i="28"/>
  <c r="D16" i="28"/>
  <c r="E14" i="28"/>
  <c r="D19" i="28"/>
  <c r="D15" i="28"/>
  <c r="D18" i="28"/>
  <c r="E20" i="28"/>
  <c r="E21" i="28"/>
  <c r="E13" i="28"/>
  <c r="E18" i="28"/>
  <c r="D21" i="28"/>
  <c r="E22" i="28"/>
  <c r="E17" i="28"/>
  <c r="E21" i="26"/>
  <c r="D16" i="26"/>
  <c r="D15" i="26"/>
  <c r="D20" i="26"/>
  <c r="E18" i="26"/>
  <c r="D19" i="26"/>
  <c r="D22" i="26"/>
  <c r="D21" i="26"/>
  <c r="E16" i="26"/>
  <c r="E15" i="26"/>
  <c r="E20" i="26"/>
  <c r="D18" i="26"/>
  <c r="E17" i="26"/>
  <c r="E13" i="26"/>
  <c r="E19" i="26"/>
  <c r="D17" i="26"/>
  <c r="E22" i="26"/>
  <c r="E14" i="26"/>
  <c r="D13" i="26"/>
  <c r="D14" i="26"/>
  <c r="E21" i="22"/>
  <c r="E13" i="22"/>
  <c r="E16" i="22"/>
  <c r="D15" i="22"/>
  <c r="D18" i="22"/>
  <c r="E17" i="22"/>
  <c r="D19" i="22"/>
  <c r="D22" i="22"/>
  <c r="D14" i="22"/>
  <c r="D21" i="22"/>
  <c r="D16" i="22"/>
  <c r="D17" i="22"/>
  <c r="D20" i="22"/>
  <c r="E19" i="22"/>
  <c r="E22" i="22"/>
  <c r="E14" i="22"/>
  <c r="E20" i="22"/>
  <c r="D13" i="22"/>
  <c r="E15" i="22"/>
  <c r="E18" i="22"/>
  <c r="D22" i="17"/>
  <c r="D14" i="17"/>
  <c r="D17" i="17"/>
  <c r="E20" i="17"/>
  <c r="E19" i="17"/>
  <c r="D18" i="17"/>
  <c r="D21" i="17"/>
  <c r="D13" i="17"/>
  <c r="E16" i="17"/>
  <c r="E15" i="17"/>
  <c r="E18" i="17"/>
  <c r="E21" i="17"/>
  <c r="E13" i="17"/>
  <c r="D16" i="17"/>
  <c r="D15" i="17"/>
  <c r="E22" i="17"/>
  <c r="E14" i="17"/>
  <c r="E17" i="17"/>
  <c r="D20" i="17"/>
  <c r="D19" i="17"/>
  <c r="D16" i="15"/>
  <c r="D15" i="15"/>
  <c r="E17" i="15"/>
  <c r="D20" i="15"/>
  <c r="E18" i="15"/>
  <c r="D13" i="15"/>
  <c r="E16" i="15"/>
  <c r="E15" i="15"/>
  <c r="D17" i="15"/>
  <c r="E20" i="15"/>
  <c r="D18" i="15"/>
  <c r="D21" i="15"/>
  <c r="D22" i="15"/>
  <c r="D19" i="15"/>
  <c r="E21" i="15"/>
  <c r="E13" i="15"/>
  <c r="E22" i="15"/>
  <c r="E14" i="15"/>
  <c r="E19" i="15"/>
  <c r="D14" i="15"/>
  <c r="L31" i="31"/>
  <c r="K31" i="31"/>
  <c r="J31" i="31"/>
  <c r="I31" i="31"/>
  <c r="H31" i="31"/>
  <c r="G31" i="31"/>
  <c r="F31" i="31"/>
  <c r="E31" i="31"/>
  <c r="D31" i="31"/>
  <c r="C31" i="31"/>
</calcChain>
</file>

<file path=xl/sharedStrings.xml><?xml version="1.0" encoding="utf-8"?>
<sst xmlns="http://schemas.openxmlformats.org/spreadsheetml/2006/main" count="118" uniqueCount="52">
  <si>
    <t>Year</t>
  </si>
  <si>
    <t>students</t>
  </si>
  <si>
    <t>Forecast(students)</t>
  </si>
  <si>
    <t>Lower Confidence Bound(students)</t>
  </si>
  <si>
    <t>Upper Confidence Bound(students)</t>
  </si>
  <si>
    <t>Faculty/Year</t>
  </si>
  <si>
    <t xml:space="preserve">Accounting </t>
  </si>
  <si>
    <t xml:space="preserve">Computing </t>
  </si>
  <si>
    <t xml:space="preserve">Economics </t>
  </si>
  <si>
    <t xml:space="preserve">Education </t>
  </si>
  <si>
    <t xml:space="preserve">Engineering </t>
  </si>
  <si>
    <t>Law</t>
  </si>
  <si>
    <t xml:space="preserve">Management Sciences </t>
  </si>
  <si>
    <t xml:space="preserve">Medicine </t>
  </si>
  <si>
    <t xml:space="preserve">Health Sciences </t>
  </si>
  <si>
    <t xml:space="preserve">Social Sciiences </t>
  </si>
  <si>
    <t>FACULTY OF ACCOUNTANCY</t>
  </si>
  <si>
    <t>FACULTY OF ECONOMICS</t>
  </si>
  <si>
    <t>FACULTY OF EDUCATION</t>
  </si>
  <si>
    <t>FACULTY OF ENGINEERING</t>
  </si>
  <si>
    <t>FACULTY OF MANAGEMENT SCIENCE</t>
  </si>
  <si>
    <t>HEALTH SCIENCE</t>
  </si>
  <si>
    <t xml:space="preserve">Active Students </t>
  </si>
  <si>
    <t>Total</t>
  </si>
  <si>
    <t xml:space="preserve">Admission By Faculty </t>
  </si>
  <si>
    <t>Forecast(Total)</t>
  </si>
  <si>
    <t>Lower Confidence Bound(Total)</t>
  </si>
  <si>
    <t>Upper Confidence Bound(Total)</t>
  </si>
  <si>
    <t>OVERALL ACTIVE STUDENTS</t>
  </si>
  <si>
    <t>All master programs</t>
  </si>
  <si>
    <t>FACULTY OF SOCIAL SCIENCE</t>
  </si>
  <si>
    <t>FACULTY OF LAW</t>
  </si>
  <si>
    <t>Medicine and surgery program</t>
  </si>
  <si>
    <t>FACULTY OF COMPUTING</t>
  </si>
  <si>
    <t>Active students</t>
  </si>
  <si>
    <t>Years</t>
  </si>
  <si>
    <t>Programs</t>
  </si>
  <si>
    <t>Master of Science in Accounting</t>
  </si>
  <si>
    <t>Master of Business Administration</t>
  </si>
  <si>
    <t xml:space="preserve">Master of Education i Policy and Planning </t>
  </si>
  <si>
    <t>Master of Science in Data Science</t>
  </si>
  <si>
    <t>Master of Arts in Public Policy</t>
  </si>
  <si>
    <t>Master of Arts in International Relations and Diplomacy</t>
  </si>
  <si>
    <t xml:space="preserve">Master of Science in Procurement and Logistics Management </t>
  </si>
  <si>
    <t xml:space="preserve">Master of Science in Telecommunications and Networking </t>
  </si>
  <si>
    <t xml:space="preserve">Master of Science in  Networking and Data Communication </t>
  </si>
  <si>
    <t>Postgraduate Diploma in Monitoring and Evaluation</t>
  </si>
  <si>
    <t>Professional Certificate in Research and Data Analysis</t>
  </si>
  <si>
    <t>Programs (OUM)</t>
  </si>
  <si>
    <t>Master of Business Administration (MBA)</t>
  </si>
  <si>
    <t>Master of Project Management (MPM)</t>
  </si>
  <si>
    <t>Master of Information Technology (MIT)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</si>
</sst>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/>
    <xf numFmtId="0" fontId="1" fillId="2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8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'OVERALL-undergraduate'!$B$2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'OVERALL-undergraduate'!$B$3:$B$22</c:f>
              <c:numCache>
                <c:formatCode>General</c:formatCode>
                <c:ptCount val="20"/>
                <c:pt idx="0">
                  <c:v>3230</c:v>
                </c:pt>
                <c:pt idx="1">
                  <c:v>3357</c:v>
                </c:pt>
                <c:pt idx="2">
                  <c:v>2738</c:v>
                </c:pt>
                <c:pt idx="3">
                  <c:v>2647</c:v>
                </c:pt>
                <c:pt idx="4">
                  <c:v>2728</c:v>
                </c:pt>
                <c:pt idx="5">
                  <c:v>2827</c:v>
                </c:pt>
                <c:pt idx="6">
                  <c:v>3299</c:v>
                </c:pt>
                <c:pt idx="7">
                  <c:v>3619</c:v>
                </c:pt>
                <c:pt idx="8">
                  <c:v>4014</c:v>
                </c:pt>
                <c:pt idx="9">
                  <c:v>3841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0-4AF3-B87A-21E55F77D86F}"/>
            </c:ext>
          </c:extLst>
        </c:ser>
        <c:ser>
          <c:idx val="1"/>
          <c:order val="1"/>
          <c:tx>
            <c:strRef>
              <c:f>'OVERALL-undergraduate'!$C$2</c:f>
              <c:strCache>
                <c:ptCount val="1"/>
                <c:pt idx="0">
                  <c:v>Forecast(Total)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'OVERALL-undergraduate'!$A$3:$A$22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'OVERALL-undergraduate'!$C$3:$C$22</c:f>
              <c:numCache>
                <c:formatCode>General</c:formatCode>
                <c:ptCount val="20"/>
                <c:pt idx="9">
                  <c:v>3841</c:v>
                </c:pt>
                <c:pt idx="10">
                  <c:v>3967.8557932614199</c:v>
                </c:pt>
                <c:pt idx="11">
                  <c:v>3974.1112274392376</c:v>
                </c:pt>
                <c:pt idx="12">
                  <c:v>4222.9272727272728</c:v>
                </c:pt>
                <c:pt idx="13">
                  <c:v>4349.7830659886922</c:v>
                </c:pt>
                <c:pt idx="14">
                  <c:v>4356.0385001665109</c:v>
                </c:pt>
                <c:pt idx="15">
                  <c:v>4604.8545454545456</c:v>
                </c:pt>
                <c:pt idx="16">
                  <c:v>4731.710338715965</c:v>
                </c:pt>
                <c:pt idx="17">
                  <c:v>4737.9657728937837</c:v>
                </c:pt>
                <c:pt idx="18">
                  <c:v>4986.7818181818184</c:v>
                </c:pt>
                <c:pt idx="19">
                  <c:v>5113.6376114432378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0-4AF3-B87A-21E55F77D86F}"/>
            </c:ext>
          </c:extLst>
        </c:ser>
        <c:ser>
          <c:idx val="2"/>
          <c:order val="2"/>
          <c:tx>
            <c:strRef>
              <c:f>'OVERALL-undergraduate'!$D$2</c:f>
              <c:strCache>
                <c:ptCount val="1"/>
                <c:pt idx="0">
                  <c:v>Lower Confidence Bound(Total)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'OVERALL-undergraduate'!$A$3:$A$22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'OVERALL-undergraduate'!$D$3:$D$22</c:f>
              <c:numCache>
                <c:formatCode>General</c:formatCode>
                <c:ptCount val="20"/>
                <c:pt idx="9" formatCode="0.00">
                  <c:v>3841</c:v>
                </c:pt>
                <c:pt idx="10" formatCode="0.00">
                  <c:v>3283.5503435466399</c:v>
                </c:pt>
                <c:pt idx="11" formatCode="0.00">
                  <c:v>3006.8409356409084</c:v>
                </c:pt>
                <c:pt idx="12" formatCode="0.00">
                  <c:v>3038.0704181220544</c:v>
                </c:pt>
                <c:pt idx="13" formatCode="0.00">
                  <c:v>2980.8292014248964</c:v>
                </c:pt>
                <c:pt idx="14" formatCode="0.00">
                  <c:v>2824.9658040794407</c:v>
                </c:pt>
                <c:pt idx="15" formatCode="0.00">
                  <c:v>2926.9774917437353</c:v>
                </c:pt>
                <c:pt idx="16" formatCode="0.00">
                  <c:v>2918.3599031375511</c:v>
                </c:pt>
                <c:pt idx="17" formatCode="0.00">
                  <c:v>2798.5823149217467</c:v>
                </c:pt>
                <c:pt idx="18" formatCode="0.00">
                  <c:v>2928.8415151581416</c:v>
                </c:pt>
                <c:pt idx="19" formatCode="0.00">
                  <c:v>2943.1734693696158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0-4AF3-B87A-21E55F77D86F}"/>
            </c:ext>
          </c:extLst>
        </c:ser>
        <c:ser>
          <c:idx val="3"/>
          <c:order val="3"/>
          <c:tx>
            <c:strRef>
              <c:f>'OVERALL-undergraduate'!$E$2</c:f>
              <c:strCache>
                <c:ptCount val="1"/>
                <c:pt idx="0">
                  <c:v>Upper Confidence Bound(Total)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'OVERALL-undergraduate'!$A$3:$A$22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'OVERALL-undergraduate'!$E$3:$E$22</c:f>
              <c:numCache>
                <c:formatCode>General</c:formatCode>
                <c:ptCount val="20"/>
                <c:pt idx="9" formatCode="0.00">
                  <c:v>3841</c:v>
                </c:pt>
                <c:pt idx="10" formatCode="0.00">
                  <c:v>4652.1612429761999</c:v>
                </c:pt>
                <c:pt idx="11" formatCode="0.00">
                  <c:v>4941.3815192375669</c:v>
                </c:pt>
                <c:pt idx="12" formatCode="0.00">
                  <c:v>5407.7841273324912</c:v>
                </c:pt>
                <c:pt idx="13" formatCode="0.00">
                  <c:v>5718.736930552488</c:v>
                </c:pt>
                <c:pt idx="14" formatCode="0.00">
                  <c:v>5887.1111962535815</c:v>
                </c:pt>
                <c:pt idx="15" formatCode="0.00">
                  <c:v>6282.7315991653559</c:v>
                </c:pt>
                <c:pt idx="16" formatCode="0.00">
                  <c:v>6545.0607742943794</c:v>
                </c:pt>
                <c:pt idx="17" formatCode="0.00">
                  <c:v>6677.3492308658206</c:v>
                </c:pt>
                <c:pt idx="18" formatCode="0.00">
                  <c:v>7044.7221212054956</c:v>
                </c:pt>
                <c:pt idx="19" formatCode="0.00">
                  <c:v>7284.1017535168594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E0-4AF3-B87A-21E55F77D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718880"/>
        <c:axId val="604721376"/>
      </c:lineChart>
      <c:catAx>
        <c:axId val="6047188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21376"/>
        <c:crosses val="autoZero"/>
        <c:auto val="1"/>
        <c:lblAlgn val="ctr"/>
        <c:lblOffset val="100"/>
        <c:noMultiLvlLbl val="0"/>
      </c:catAx>
      <c:valAx>
        <c:axId val="6047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'GS-OVERALL'!$B$2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'GS-OVERALL'!$B$3:$B$10</c:f>
              <c:numCache>
                <c:formatCode>General</c:formatCode>
                <c:ptCount val="8"/>
                <c:pt idx="0">
                  <c:v>259</c:v>
                </c:pt>
                <c:pt idx="1">
                  <c:v>273</c:v>
                </c:pt>
                <c:pt idx="2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3-4461-8C78-6C3C15545EAD}"/>
            </c:ext>
          </c:extLst>
        </c:ser>
        <c:ser>
          <c:idx val="1"/>
          <c:order val="1"/>
          <c:tx>
            <c:strRef>
              <c:f>'GS-OVERALL'!$C$2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'GS-OVERALL'!$A$3:$A$10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'GS-OVERALL'!$C$3:$C$10</c:f>
              <c:numCache>
                <c:formatCode>General</c:formatCode>
                <c:ptCount val="8"/>
                <c:pt idx="2">
                  <c:v>381</c:v>
                </c:pt>
                <c:pt idx="3">
                  <c:v>429.85524700000002</c:v>
                </c:pt>
                <c:pt idx="4">
                  <c:v>487.12819400000001</c:v>
                </c:pt>
                <c:pt idx="5">
                  <c:v>544.40114100000005</c:v>
                </c:pt>
                <c:pt idx="6">
                  <c:v>601.67408799999998</c:v>
                </c:pt>
                <c:pt idx="7">
                  <c:v>658.94703500000003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3-4461-8C78-6C3C15545EAD}"/>
            </c:ext>
          </c:extLst>
        </c:ser>
        <c:ser>
          <c:idx val="2"/>
          <c:order val="2"/>
          <c:tx>
            <c:strRef>
              <c:f>'GS-OVERALL'!$D$2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'GS-OVERALL'!$A$3:$A$10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'GS-OVERALL'!$D$3:$D$10</c:f>
              <c:numCache>
                <c:formatCode>General</c:formatCode>
                <c:ptCount val="8"/>
                <c:pt idx="2" formatCode="0.00">
                  <c:v>381</c:v>
                </c:pt>
                <c:pt idx="3" formatCode="0.00">
                  <c:v>375.62786151665341</c:v>
                </c:pt>
                <c:pt idx="4" formatCode="0.00">
                  <c:v>431.83750394562787</c:v>
                </c:pt>
                <c:pt idx="5" formatCode="0.00">
                  <c:v>486.79733662741791</c:v>
                </c:pt>
                <c:pt idx="6" formatCode="0.00">
                  <c:v>540.17884611016757</c:v>
                </c:pt>
                <c:pt idx="7" formatCode="0.00">
                  <c:v>591.82698045902987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3-4461-8C78-6C3C15545EAD}"/>
            </c:ext>
          </c:extLst>
        </c:ser>
        <c:ser>
          <c:idx val="3"/>
          <c:order val="3"/>
          <c:tx>
            <c:strRef>
              <c:f>'GS-OVERALL'!$E$2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'GS-OVERALL'!$A$3:$A$10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'GS-OVERALL'!$E$3:$E$10</c:f>
              <c:numCache>
                <c:formatCode>General</c:formatCode>
                <c:ptCount val="8"/>
                <c:pt idx="2" formatCode="0.00">
                  <c:v>381</c:v>
                </c:pt>
                <c:pt idx="3" formatCode="0.00">
                  <c:v>484.08263248334663</c:v>
                </c:pt>
                <c:pt idx="4" formatCode="0.00">
                  <c:v>542.41888405437214</c:v>
                </c:pt>
                <c:pt idx="5" formatCode="0.00">
                  <c:v>602.00494537258214</c:v>
                </c:pt>
                <c:pt idx="6" formatCode="0.00">
                  <c:v>663.1693298898324</c:v>
                </c:pt>
                <c:pt idx="7" formatCode="0.00">
                  <c:v>726.06708954097019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53-4461-8C78-6C3C15545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496048"/>
        <c:axId val="677479824"/>
      </c:lineChart>
      <c:catAx>
        <c:axId val="677496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79824"/>
        <c:crosses val="autoZero"/>
        <c:auto val="1"/>
        <c:lblAlgn val="ctr"/>
        <c:lblOffset val="100"/>
        <c:noMultiLvlLbl val="0"/>
      </c:catAx>
      <c:valAx>
        <c:axId val="6774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9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FACC!$B$2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FACC!$B$3:$B$22</c:f>
              <c:numCache>
                <c:formatCode>General</c:formatCode>
                <c:ptCount val="20"/>
                <c:pt idx="0">
                  <c:v>457</c:v>
                </c:pt>
                <c:pt idx="1">
                  <c:v>423</c:v>
                </c:pt>
                <c:pt idx="2">
                  <c:v>311</c:v>
                </c:pt>
                <c:pt idx="3">
                  <c:v>276</c:v>
                </c:pt>
                <c:pt idx="4">
                  <c:v>267</c:v>
                </c:pt>
                <c:pt idx="5">
                  <c:v>301</c:v>
                </c:pt>
                <c:pt idx="6">
                  <c:v>339</c:v>
                </c:pt>
                <c:pt idx="7">
                  <c:v>395</c:v>
                </c:pt>
                <c:pt idx="8">
                  <c:v>473</c:v>
                </c:pt>
                <c:pt idx="9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C-4BB8-98AE-1E38EFF0E134}"/>
            </c:ext>
          </c:extLst>
        </c:ser>
        <c:ser>
          <c:idx val="1"/>
          <c:order val="1"/>
          <c:tx>
            <c:strRef>
              <c:f>FACC!$C$2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FACC!$A$3:$A$22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FACC!$C$3:$C$22</c:f>
              <c:numCache>
                <c:formatCode>General</c:formatCode>
                <c:ptCount val="20"/>
                <c:pt idx="9" formatCode="0">
                  <c:v>492</c:v>
                </c:pt>
                <c:pt idx="10" formatCode="0">
                  <c:v>491.05156829540482</c:v>
                </c:pt>
                <c:pt idx="11" formatCode="0">
                  <c:v>497.47158272525513</c:v>
                </c:pt>
                <c:pt idx="12" formatCode="0">
                  <c:v>506.13514181466542</c:v>
                </c:pt>
                <c:pt idx="13" formatCode="0">
                  <c:v>545.37339285104349</c:v>
                </c:pt>
                <c:pt idx="14" formatCode="0">
                  <c:v>544.39810014658724</c:v>
                </c:pt>
                <c:pt idx="15" formatCode="0">
                  <c:v>550.81811457643744</c:v>
                </c:pt>
                <c:pt idx="16" formatCode="0">
                  <c:v>559.48167366584767</c:v>
                </c:pt>
                <c:pt idx="17" formatCode="0">
                  <c:v>598.71992470222585</c:v>
                </c:pt>
                <c:pt idx="18" formatCode="0">
                  <c:v>597.74463199776949</c:v>
                </c:pt>
                <c:pt idx="19" formatCode="0">
                  <c:v>604.1646464276198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C-4BB8-98AE-1E38EFF0E134}"/>
            </c:ext>
          </c:extLst>
        </c:ser>
        <c:ser>
          <c:idx val="2"/>
          <c:order val="2"/>
          <c:tx>
            <c:strRef>
              <c:f>FACC!$D$2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FACC!$A$3:$A$22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FACC!$D$3:$D$22</c:f>
              <c:numCache>
                <c:formatCode>General</c:formatCode>
                <c:ptCount val="20"/>
                <c:pt idx="9" formatCode="0.00">
                  <c:v>492</c:v>
                </c:pt>
                <c:pt idx="10" formatCode="0.00">
                  <c:v>345.44575267877104</c:v>
                </c:pt>
                <c:pt idx="11" formatCode="0.00">
                  <c:v>315.37691245789142</c:v>
                </c:pt>
                <c:pt idx="12" formatCode="0.00">
                  <c:v>293.65514388157203</c:v>
                </c:pt>
                <c:pt idx="13" formatCode="0.00">
                  <c:v>306.27312583091941</c:v>
                </c:pt>
                <c:pt idx="14" formatCode="0.00">
                  <c:v>264.22424633219225</c:v>
                </c:pt>
                <c:pt idx="15" formatCode="0.00">
                  <c:v>249.8488156336083</c:v>
                </c:pt>
                <c:pt idx="16" formatCode="0.00">
                  <c:v>239.01375913622252</c:v>
                </c:pt>
                <c:pt idx="17" formatCode="0.00">
                  <c:v>259.82624406801227</c:v>
                </c:pt>
                <c:pt idx="18" formatCode="0.00">
                  <c:v>228.49155629440799</c:v>
                </c:pt>
                <c:pt idx="19" formatCode="0.00">
                  <c:v>218.72806533863292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C-4BB8-98AE-1E38EFF0E134}"/>
            </c:ext>
          </c:extLst>
        </c:ser>
        <c:ser>
          <c:idx val="3"/>
          <c:order val="3"/>
          <c:tx>
            <c:strRef>
              <c:f>FACC!$E$2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FACC!$A$3:$A$22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FACC!$E$3:$E$22</c:f>
              <c:numCache>
                <c:formatCode>General</c:formatCode>
                <c:ptCount val="20"/>
                <c:pt idx="9" formatCode="0.00">
                  <c:v>492</c:v>
                </c:pt>
                <c:pt idx="10" formatCode="0.00">
                  <c:v>636.65738391203854</c:v>
                </c:pt>
                <c:pt idx="11" formatCode="0.00">
                  <c:v>679.56625299261884</c:v>
                </c:pt>
                <c:pt idx="12" formatCode="0.00">
                  <c:v>718.6151397477588</c:v>
                </c:pt>
                <c:pt idx="13" formatCode="0.00">
                  <c:v>784.47365987116757</c:v>
                </c:pt>
                <c:pt idx="14" formatCode="0.00">
                  <c:v>824.57195396098223</c:v>
                </c:pt>
                <c:pt idx="15" formatCode="0.00">
                  <c:v>851.78741351926658</c:v>
                </c:pt>
                <c:pt idx="16" formatCode="0.00">
                  <c:v>879.94958819547287</c:v>
                </c:pt>
                <c:pt idx="17" formatCode="0.00">
                  <c:v>937.61360533643938</c:v>
                </c:pt>
                <c:pt idx="18" formatCode="0.00">
                  <c:v>966.99770770113105</c:v>
                </c:pt>
                <c:pt idx="19" formatCode="0.00">
                  <c:v>989.60122751660674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C-4BB8-98AE-1E38EFF0E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150656"/>
        <c:axId val="1455155648"/>
      </c:lineChart>
      <c:catAx>
        <c:axId val="14551506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55648"/>
        <c:crosses val="autoZero"/>
        <c:auto val="1"/>
        <c:lblAlgn val="ctr"/>
        <c:lblOffset val="100"/>
        <c:noMultiLvlLbl val="0"/>
      </c:catAx>
      <c:valAx>
        <c:axId val="14551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5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FC!$B$2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FC!$B$3:$B$22</c:f>
              <c:numCache>
                <c:formatCode>General</c:formatCode>
                <c:ptCount val="20"/>
                <c:pt idx="0">
                  <c:v>794</c:v>
                </c:pt>
                <c:pt idx="1">
                  <c:v>631</c:v>
                </c:pt>
                <c:pt idx="2">
                  <c:v>479</c:v>
                </c:pt>
                <c:pt idx="3">
                  <c:v>387</c:v>
                </c:pt>
                <c:pt idx="4">
                  <c:v>463</c:v>
                </c:pt>
                <c:pt idx="5">
                  <c:v>490</c:v>
                </c:pt>
                <c:pt idx="6">
                  <c:v>637</c:v>
                </c:pt>
                <c:pt idx="7">
                  <c:v>840</c:v>
                </c:pt>
                <c:pt idx="8">
                  <c:v>990</c:v>
                </c:pt>
                <c:pt idx="9">
                  <c:v>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0-4FDF-8C2B-2E6CCD9C1DEC}"/>
            </c:ext>
          </c:extLst>
        </c:ser>
        <c:ser>
          <c:idx val="1"/>
          <c:order val="1"/>
          <c:tx>
            <c:strRef>
              <c:f>FC!$C$2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FC!$C$3:$C$22</c:f>
              <c:numCache>
                <c:formatCode>General</c:formatCode>
                <c:ptCount val="20"/>
                <c:pt idx="9">
                  <c:v>988</c:v>
                </c:pt>
                <c:pt idx="10" formatCode="0">
                  <c:v>1067.1406138535765</c:v>
                </c:pt>
                <c:pt idx="11" formatCode="0">
                  <c:v>1100.6837699030928</c:v>
                </c:pt>
                <c:pt idx="12" formatCode="0">
                  <c:v>1172.5476196977663</c:v>
                </c:pt>
                <c:pt idx="13" formatCode="0">
                  <c:v>1220.0551181355559</c:v>
                </c:pt>
                <c:pt idx="14" formatCode="0">
                  <c:v>1299.1298611848572</c:v>
                </c:pt>
                <c:pt idx="15" formatCode="0">
                  <c:v>1332.6730172343737</c:v>
                </c:pt>
                <c:pt idx="16" formatCode="0">
                  <c:v>1404.5368670290472</c:v>
                </c:pt>
                <c:pt idx="17" formatCode="0">
                  <c:v>1452.0443654668368</c:v>
                </c:pt>
                <c:pt idx="18" formatCode="0">
                  <c:v>1531.1191085161379</c:v>
                </c:pt>
                <c:pt idx="19" formatCode="0">
                  <c:v>1564.6622645656544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0-4FDF-8C2B-2E6CCD9C1DEC}"/>
            </c:ext>
          </c:extLst>
        </c:ser>
        <c:ser>
          <c:idx val="2"/>
          <c:order val="2"/>
          <c:tx>
            <c:strRef>
              <c:f>FC!$D$2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FC!$D$3:$D$22</c:f>
              <c:numCache>
                <c:formatCode>General</c:formatCode>
                <c:ptCount val="20"/>
                <c:pt idx="9" formatCode="0.00">
                  <c:v>988</c:v>
                </c:pt>
                <c:pt idx="10" formatCode="0.00">
                  <c:v>740.32244624326563</c:v>
                </c:pt>
                <c:pt idx="11" formatCode="0.00">
                  <c:v>691.96488586433577</c:v>
                </c:pt>
                <c:pt idx="12" formatCode="0.00">
                  <c:v>695.62763347158943</c:v>
                </c:pt>
                <c:pt idx="13" formatCode="0.00">
                  <c:v>683.38485663724964</c:v>
                </c:pt>
                <c:pt idx="14" formatCode="0.00">
                  <c:v>670.26826573166477</c:v>
                </c:pt>
                <c:pt idx="15" formatCode="0.00">
                  <c:v>657.13520048649264</c:v>
                </c:pt>
                <c:pt idx="16" formatCode="0.00">
                  <c:v>685.23361556946008</c:v>
                </c:pt>
                <c:pt idx="17" formatCode="0.00">
                  <c:v>691.38373353713973</c:v>
                </c:pt>
                <c:pt idx="18" formatCode="0.00">
                  <c:v>702.31558116542203</c:v>
                </c:pt>
                <c:pt idx="19" formatCode="0.00">
                  <c:v>699.53420200841026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0-4FDF-8C2B-2E6CCD9C1DEC}"/>
            </c:ext>
          </c:extLst>
        </c:ser>
        <c:ser>
          <c:idx val="3"/>
          <c:order val="3"/>
          <c:tx>
            <c:strRef>
              <c:f>FC!$E$2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FC!$E$3:$E$22</c:f>
              <c:numCache>
                <c:formatCode>General</c:formatCode>
                <c:ptCount val="20"/>
                <c:pt idx="9" formatCode="0.00">
                  <c:v>988</c:v>
                </c:pt>
                <c:pt idx="10" formatCode="0.00">
                  <c:v>1393.9587814638874</c:v>
                </c:pt>
                <c:pt idx="11" formatCode="0.00">
                  <c:v>1509.4026539418496</c:v>
                </c:pt>
                <c:pt idx="12" formatCode="0.00">
                  <c:v>1649.4676059239432</c:v>
                </c:pt>
                <c:pt idx="13" formatCode="0.00">
                  <c:v>1756.7253796338621</c:v>
                </c:pt>
                <c:pt idx="14" formatCode="0.00">
                  <c:v>1927.9914566380496</c:v>
                </c:pt>
                <c:pt idx="15" formatCode="0.00">
                  <c:v>2008.2108339822548</c:v>
                </c:pt>
                <c:pt idx="16" formatCode="0.00">
                  <c:v>2123.8401184886343</c:v>
                </c:pt>
                <c:pt idx="17" formatCode="0.00">
                  <c:v>2212.7049973965341</c:v>
                </c:pt>
                <c:pt idx="18" formatCode="0.00">
                  <c:v>2359.9226358668539</c:v>
                </c:pt>
                <c:pt idx="19" formatCode="0.00">
                  <c:v>2429.7903271228984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0-4FDF-8C2B-2E6CCD9C1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860240"/>
        <c:axId val="1465864816"/>
      </c:lineChart>
      <c:catAx>
        <c:axId val="14658602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64816"/>
        <c:crosses val="autoZero"/>
        <c:auto val="1"/>
        <c:lblAlgn val="ctr"/>
        <c:lblOffset val="100"/>
        <c:noMultiLvlLbl val="0"/>
      </c:catAx>
      <c:valAx>
        <c:axId val="14658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6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FECO!$B$2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FECO!$B$3:$B$22</c:f>
              <c:numCache>
                <c:formatCode>General</c:formatCode>
                <c:ptCount val="20"/>
                <c:pt idx="0">
                  <c:v>295</c:v>
                </c:pt>
                <c:pt idx="1">
                  <c:v>327</c:v>
                </c:pt>
                <c:pt idx="2">
                  <c:v>318</c:v>
                </c:pt>
                <c:pt idx="3">
                  <c:v>324</c:v>
                </c:pt>
                <c:pt idx="4">
                  <c:v>365</c:v>
                </c:pt>
                <c:pt idx="5">
                  <c:v>374</c:v>
                </c:pt>
                <c:pt idx="6">
                  <c:v>472</c:v>
                </c:pt>
                <c:pt idx="7">
                  <c:v>486</c:v>
                </c:pt>
                <c:pt idx="8">
                  <c:v>453</c:v>
                </c:pt>
                <c:pt idx="9">
                  <c:v>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2-4119-BE29-17653D27859B}"/>
            </c:ext>
          </c:extLst>
        </c:ser>
        <c:ser>
          <c:idx val="1"/>
          <c:order val="1"/>
          <c:tx>
            <c:strRef>
              <c:f>FECO!$C$2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FECO!$A$3:$A$22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FECO!$C$3:$C$22</c:f>
              <c:numCache>
                <c:formatCode>General</c:formatCode>
                <c:ptCount val="20"/>
                <c:pt idx="9">
                  <c:v>414</c:v>
                </c:pt>
                <c:pt idx="10" formatCode="0">
                  <c:v>477.0970599185639</c:v>
                </c:pt>
                <c:pt idx="11" formatCode="0">
                  <c:v>558.77830241079891</c:v>
                </c:pt>
                <c:pt idx="12" formatCode="0">
                  <c:v>558.75631045683508</c:v>
                </c:pt>
                <c:pt idx="13" formatCode="0">
                  <c:v>546.02425857553192</c:v>
                </c:pt>
                <c:pt idx="14" formatCode="0">
                  <c:v>578.87901323289498</c:v>
                </c:pt>
                <c:pt idx="15" formatCode="0">
                  <c:v>587.16828462011313</c:v>
                </c:pt>
                <c:pt idx="16" formatCode="0">
                  <c:v>668.84952711234803</c:v>
                </c:pt>
                <c:pt idx="17" formatCode="0">
                  <c:v>668.82753515838419</c:v>
                </c:pt>
                <c:pt idx="18" formatCode="0">
                  <c:v>656.09548327708103</c:v>
                </c:pt>
                <c:pt idx="19" formatCode="0">
                  <c:v>688.9502379344442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2-4119-BE29-17653D27859B}"/>
            </c:ext>
          </c:extLst>
        </c:ser>
        <c:ser>
          <c:idx val="2"/>
          <c:order val="2"/>
          <c:tx>
            <c:strRef>
              <c:f>FECO!$D$2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FECO!$A$3:$A$22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FECO!$D$3:$D$22</c:f>
              <c:numCache>
                <c:formatCode>General</c:formatCode>
                <c:ptCount val="20"/>
                <c:pt idx="9" formatCode="0.00">
                  <c:v>414</c:v>
                </c:pt>
                <c:pt idx="10" formatCode="0.00">
                  <c:v>411.71443681557275</c:v>
                </c:pt>
                <c:pt idx="11" formatCode="0.00">
                  <c:v>491.35160255443287</c:v>
                </c:pt>
                <c:pt idx="12" formatCode="0.00">
                  <c:v>489.33015456907128</c:v>
                </c:pt>
                <c:pt idx="13" formatCode="0.00">
                  <c:v>474.63945797276051</c:v>
                </c:pt>
                <c:pt idx="14" formatCode="0.00">
                  <c:v>505.57304955645634</c:v>
                </c:pt>
                <c:pt idx="15" formatCode="0.00">
                  <c:v>511.96112838703408</c:v>
                </c:pt>
                <c:pt idx="16" formatCode="0.00">
                  <c:v>591.78806860809846</c:v>
                </c:pt>
                <c:pt idx="17" formatCode="0.00">
                  <c:v>589.941402080697</c:v>
                </c:pt>
                <c:pt idx="18" formatCode="0.00">
                  <c:v>575.41224019720266</c:v>
                </c:pt>
                <c:pt idx="19" formatCode="0.00">
                  <c:v>606.49559523686469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2-4119-BE29-17653D27859B}"/>
            </c:ext>
          </c:extLst>
        </c:ser>
        <c:ser>
          <c:idx val="3"/>
          <c:order val="3"/>
          <c:tx>
            <c:strRef>
              <c:f>FECO!$E$2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FECO!$A$3:$A$22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FECO!$E$3:$E$22</c:f>
              <c:numCache>
                <c:formatCode>General</c:formatCode>
                <c:ptCount val="20"/>
                <c:pt idx="9" formatCode="0.00">
                  <c:v>414</c:v>
                </c:pt>
                <c:pt idx="10" formatCode="0.00">
                  <c:v>542.47968302155505</c:v>
                </c:pt>
                <c:pt idx="11" formatCode="0.00">
                  <c:v>626.2050022671649</c:v>
                </c:pt>
                <c:pt idx="12" formatCode="0.00">
                  <c:v>628.18246634459888</c:v>
                </c:pt>
                <c:pt idx="13" formatCode="0.00">
                  <c:v>617.40905917830332</c:v>
                </c:pt>
                <c:pt idx="14" formatCode="0.00">
                  <c:v>652.18497690933361</c:v>
                </c:pt>
                <c:pt idx="15" formatCode="0.00">
                  <c:v>662.37544085319223</c:v>
                </c:pt>
                <c:pt idx="16" formatCode="0.00">
                  <c:v>745.9109856165976</c:v>
                </c:pt>
                <c:pt idx="17" formatCode="0.00">
                  <c:v>747.71366823607138</c:v>
                </c:pt>
                <c:pt idx="18" formatCode="0.00">
                  <c:v>736.7787263569594</c:v>
                </c:pt>
                <c:pt idx="19" formatCode="0.00">
                  <c:v>771.40488063202372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C2-4119-BE29-17653D278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132208"/>
        <c:axId val="1563133040"/>
      </c:lineChart>
      <c:catAx>
        <c:axId val="15631322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33040"/>
        <c:crosses val="autoZero"/>
        <c:auto val="1"/>
        <c:lblAlgn val="ctr"/>
        <c:lblOffset val="100"/>
        <c:noMultiLvlLbl val="0"/>
      </c:catAx>
      <c:valAx>
        <c:axId val="15631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3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FED!$B$2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FED!$B$3:$B$22</c:f>
              <c:numCache>
                <c:formatCode>General</c:formatCode>
                <c:ptCount val="20"/>
                <c:pt idx="0">
                  <c:v>59</c:v>
                </c:pt>
                <c:pt idx="1">
                  <c:v>103</c:v>
                </c:pt>
                <c:pt idx="2">
                  <c:v>36</c:v>
                </c:pt>
                <c:pt idx="3">
                  <c:v>141</c:v>
                </c:pt>
                <c:pt idx="4">
                  <c:v>163</c:v>
                </c:pt>
                <c:pt idx="5">
                  <c:v>182</c:v>
                </c:pt>
                <c:pt idx="6">
                  <c:v>169</c:v>
                </c:pt>
                <c:pt idx="7">
                  <c:v>99</c:v>
                </c:pt>
                <c:pt idx="8">
                  <c:v>83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6-4B25-AA8C-924A5638ED2F}"/>
            </c:ext>
          </c:extLst>
        </c:ser>
        <c:ser>
          <c:idx val="1"/>
          <c:order val="1"/>
          <c:tx>
            <c:strRef>
              <c:f>FED!$C$2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FED!$A$3:$A$22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FED!$C$3:$C$22</c:f>
              <c:numCache>
                <c:formatCode>General</c:formatCode>
                <c:ptCount val="20"/>
                <c:pt idx="9">
                  <c:v>69</c:v>
                </c:pt>
                <c:pt idx="10" formatCode="0">
                  <c:v>77.594325382672494</c:v>
                </c:pt>
                <c:pt idx="11" formatCode="0">
                  <c:v>79.818949668103556</c:v>
                </c:pt>
                <c:pt idx="12" formatCode="0">
                  <c:v>82.043573953534548</c:v>
                </c:pt>
                <c:pt idx="13" formatCode="0">
                  <c:v>84.268198238965596</c:v>
                </c:pt>
                <c:pt idx="14" formatCode="0">
                  <c:v>86.492822524396601</c:v>
                </c:pt>
                <c:pt idx="15" formatCode="0">
                  <c:v>88.717446809827649</c:v>
                </c:pt>
                <c:pt idx="16" formatCode="0">
                  <c:v>90.94207109525864</c:v>
                </c:pt>
                <c:pt idx="17" formatCode="0">
                  <c:v>93.166695380689703</c:v>
                </c:pt>
                <c:pt idx="18" formatCode="0">
                  <c:v>95.391319666120694</c:v>
                </c:pt>
                <c:pt idx="19" formatCode="0">
                  <c:v>97.615943951551756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6-4B25-AA8C-924A5638ED2F}"/>
            </c:ext>
          </c:extLst>
        </c:ser>
        <c:ser>
          <c:idx val="2"/>
          <c:order val="2"/>
          <c:tx>
            <c:strRef>
              <c:f>FED!$D$2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FED!$A$3:$A$22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FED!$D$3:$D$22</c:f>
              <c:numCache>
                <c:formatCode>General</c:formatCode>
                <c:ptCount val="20"/>
                <c:pt idx="9" formatCode="0.00">
                  <c:v>69</c:v>
                </c:pt>
                <c:pt idx="10" formatCode="0.00">
                  <c:v>-16.556275984036091</c:v>
                </c:pt>
                <c:pt idx="11" formatCode="0.00">
                  <c:v>-37.925816492090007</c:v>
                </c:pt>
                <c:pt idx="12" formatCode="0.00">
                  <c:v>-55.348737604056794</c:v>
                </c:pt>
                <c:pt idx="13" formatCode="0.00">
                  <c:v>-70.337123200637762</c:v>
                </c:pt>
                <c:pt idx="14" formatCode="0.00">
                  <c:v>-83.631608741969856</c:v>
                </c:pt>
                <c:pt idx="15" formatCode="0.00">
                  <c:v>-95.660466977573762</c:v>
                </c:pt>
                <c:pt idx="16" formatCode="0.00">
                  <c:v>-106.69775809608602</c:v>
                </c:pt>
                <c:pt idx="17" formatCode="0.00">
                  <c:v>-116.93137889164746</c:v>
                </c:pt>
                <c:pt idx="18" formatCode="0.00">
                  <c:v>-126.49678053699469</c:v>
                </c:pt>
                <c:pt idx="19" formatCode="0.00">
                  <c:v>-135.49541228804708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D6-4B25-AA8C-924A5638ED2F}"/>
            </c:ext>
          </c:extLst>
        </c:ser>
        <c:ser>
          <c:idx val="3"/>
          <c:order val="3"/>
          <c:tx>
            <c:strRef>
              <c:f>FED!$E$2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FED!$A$3:$A$22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FED!$E$3:$E$22</c:f>
              <c:numCache>
                <c:formatCode>General</c:formatCode>
                <c:ptCount val="20"/>
                <c:pt idx="9" formatCode="0.00">
                  <c:v>69</c:v>
                </c:pt>
                <c:pt idx="10" formatCode="0.00">
                  <c:v>171.74492674938108</c:v>
                </c:pt>
                <c:pt idx="11" formatCode="0.00">
                  <c:v>197.56371582829712</c:v>
                </c:pt>
                <c:pt idx="12" formatCode="0.00">
                  <c:v>219.43588551112589</c:v>
                </c:pt>
                <c:pt idx="13" formatCode="0.00">
                  <c:v>238.87351967856895</c:v>
                </c:pt>
                <c:pt idx="14" formatCode="0.00">
                  <c:v>256.61725379076307</c:v>
                </c:pt>
                <c:pt idx="15" formatCode="0.00">
                  <c:v>273.09536059722905</c:v>
                </c:pt>
                <c:pt idx="16" formatCode="0.00">
                  <c:v>288.58190028660329</c:v>
                </c:pt>
                <c:pt idx="17" formatCode="0.00">
                  <c:v>303.26476965302686</c:v>
                </c:pt>
                <c:pt idx="18" formatCode="0.00">
                  <c:v>317.27941986923611</c:v>
                </c:pt>
                <c:pt idx="19" formatCode="0.00">
                  <c:v>330.72730019115056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D6-4B25-AA8C-924A5638E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75840"/>
        <c:axId val="1372177088"/>
      </c:lineChart>
      <c:catAx>
        <c:axId val="1372175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77088"/>
        <c:crosses val="autoZero"/>
        <c:auto val="1"/>
        <c:lblAlgn val="ctr"/>
        <c:lblOffset val="100"/>
        <c:noMultiLvlLbl val="0"/>
      </c:catAx>
      <c:valAx>
        <c:axId val="13721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FENG!$B$2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FENG!$B$3:$B$22</c:f>
              <c:numCache>
                <c:formatCode>General</c:formatCode>
                <c:ptCount val="20"/>
                <c:pt idx="0">
                  <c:v>0</c:v>
                </c:pt>
                <c:pt idx="1">
                  <c:v>115</c:v>
                </c:pt>
                <c:pt idx="2">
                  <c:v>139</c:v>
                </c:pt>
                <c:pt idx="3">
                  <c:v>168</c:v>
                </c:pt>
                <c:pt idx="4">
                  <c:v>188</c:v>
                </c:pt>
                <c:pt idx="5">
                  <c:v>163</c:v>
                </c:pt>
                <c:pt idx="6">
                  <c:v>160</c:v>
                </c:pt>
                <c:pt idx="7">
                  <c:v>154</c:v>
                </c:pt>
                <c:pt idx="8">
                  <c:v>184</c:v>
                </c:pt>
                <c:pt idx="9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8-43F0-A2C6-200DAC6002E1}"/>
            </c:ext>
          </c:extLst>
        </c:ser>
        <c:ser>
          <c:idx val="1"/>
          <c:order val="1"/>
          <c:tx>
            <c:strRef>
              <c:f>FENG!$C$2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FENG!$A$3:$A$22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FENG!$C$3:$C$22</c:f>
              <c:numCache>
                <c:formatCode>General</c:formatCode>
                <c:ptCount val="20"/>
                <c:pt idx="9">
                  <c:v>191</c:v>
                </c:pt>
                <c:pt idx="10" formatCode="0">
                  <c:v>182.45028607786705</c:v>
                </c:pt>
                <c:pt idx="11" formatCode="0">
                  <c:v>200.96000182315461</c:v>
                </c:pt>
                <c:pt idx="12" formatCode="0">
                  <c:v>207.645880623701</c:v>
                </c:pt>
                <c:pt idx="13" formatCode="0">
                  <c:v>234.31453592586018</c:v>
                </c:pt>
                <c:pt idx="14" formatCode="0">
                  <c:v>254.69357748227847</c:v>
                </c:pt>
                <c:pt idx="15" formatCode="0">
                  <c:v>233.71277370240216</c:v>
                </c:pt>
                <c:pt idx="16" formatCode="0">
                  <c:v>252.22248944768972</c:v>
                </c:pt>
                <c:pt idx="17" formatCode="0">
                  <c:v>258.90836824823612</c:v>
                </c:pt>
                <c:pt idx="18" formatCode="0">
                  <c:v>285.57702355039532</c:v>
                </c:pt>
                <c:pt idx="19" formatCode="0">
                  <c:v>305.95606510681353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8-43F0-A2C6-200DAC6002E1}"/>
            </c:ext>
          </c:extLst>
        </c:ser>
        <c:ser>
          <c:idx val="2"/>
          <c:order val="2"/>
          <c:tx>
            <c:strRef>
              <c:f>FENG!$D$2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FENG!$A$3:$A$22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FENG!$D$3:$D$22</c:f>
              <c:numCache>
                <c:formatCode>General</c:formatCode>
                <c:ptCount val="20"/>
                <c:pt idx="9" formatCode="0.00">
                  <c:v>191</c:v>
                </c:pt>
                <c:pt idx="10" formatCode="0.00">
                  <c:v>72.152191054270475</c:v>
                </c:pt>
                <c:pt idx="11" formatCode="0.00">
                  <c:v>87.213624040634073</c:v>
                </c:pt>
                <c:pt idx="12" formatCode="0.00">
                  <c:v>90.526493609060367</c:v>
                </c:pt>
                <c:pt idx="13" formatCode="0.00">
                  <c:v>113.89098687793626</c:v>
                </c:pt>
                <c:pt idx="14" formatCode="0.00">
                  <c:v>131.02909655981989</c:v>
                </c:pt>
                <c:pt idx="15" formatCode="0.00">
                  <c:v>98.037598132269665</c:v>
                </c:pt>
                <c:pt idx="16" formatCode="0.00">
                  <c:v>113.61771468018804</c:v>
                </c:pt>
                <c:pt idx="17" formatCode="0.00">
                  <c:v>117.41250530290876</c:v>
                </c:pt>
                <c:pt idx="18" formatCode="0.00">
                  <c:v>141.226185228601</c:v>
                </c:pt>
                <c:pt idx="19" formatCode="0.00">
                  <c:v>158.78417988285096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08-43F0-A2C6-200DAC6002E1}"/>
            </c:ext>
          </c:extLst>
        </c:ser>
        <c:ser>
          <c:idx val="3"/>
          <c:order val="3"/>
          <c:tx>
            <c:strRef>
              <c:f>FENG!$E$2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FENG!$A$3:$A$22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FENG!$E$3:$E$22</c:f>
              <c:numCache>
                <c:formatCode>General</c:formatCode>
                <c:ptCount val="20"/>
                <c:pt idx="9" formatCode="0.00">
                  <c:v>191</c:v>
                </c:pt>
                <c:pt idx="10" formatCode="0.00">
                  <c:v>292.74838110146362</c:v>
                </c:pt>
                <c:pt idx="11" formatCode="0.00">
                  <c:v>314.70637960567512</c:v>
                </c:pt>
                <c:pt idx="12" formatCode="0.00">
                  <c:v>324.76526763834164</c:v>
                </c:pt>
                <c:pt idx="13" formatCode="0.00">
                  <c:v>354.73808497378411</c:v>
                </c:pt>
                <c:pt idx="14" formatCode="0.00">
                  <c:v>378.35805840473705</c:v>
                </c:pt>
                <c:pt idx="15" formatCode="0.00">
                  <c:v>369.38794927253468</c:v>
                </c:pt>
                <c:pt idx="16" formatCode="0.00">
                  <c:v>390.82726421519141</c:v>
                </c:pt>
                <c:pt idx="17" formatCode="0.00">
                  <c:v>400.40423119356348</c:v>
                </c:pt>
                <c:pt idx="18" formatCode="0.00">
                  <c:v>429.92786187218962</c:v>
                </c:pt>
                <c:pt idx="19" formatCode="0.00">
                  <c:v>453.12795033077612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08-43F0-A2C6-200DAC60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124720"/>
        <c:axId val="1563125968"/>
      </c:lineChart>
      <c:catAx>
        <c:axId val="156312472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25968"/>
        <c:crosses val="autoZero"/>
        <c:auto val="1"/>
        <c:lblAlgn val="ctr"/>
        <c:lblOffset val="100"/>
        <c:noMultiLvlLbl val="0"/>
      </c:catAx>
      <c:valAx>
        <c:axId val="156312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FMS!$B$2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FMS!$B$3:$B$22</c:f>
              <c:numCache>
                <c:formatCode>General</c:formatCode>
                <c:ptCount val="20"/>
                <c:pt idx="0">
                  <c:v>865</c:v>
                </c:pt>
                <c:pt idx="1">
                  <c:v>879</c:v>
                </c:pt>
                <c:pt idx="2">
                  <c:v>893</c:v>
                </c:pt>
                <c:pt idx="3">
                  <c:v>819</c:v>
                </c:pt>
                <c:pt idx="4">
                  <c:v>722</c:v>
                </c:pt>
                <c:pt idx="5">
                  <c:v>725</c:v>
                </c:pt>
                <c:pt idx="6">
                  <c:v>794</c:v>
                </c:pt>
                <c:pt idx="7">
                  <c:v>820</c:v>
                </c:pt>
                <c:pt idx="8">
                  <c:v>861</c:v>
                </c:pt>
                <c:pt idx="9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4-4FC2-B0DF-F44E2D0963BD}"/>
            </c:ext>
          </c:extLst>
        </c:ser>
        <c:ser>
          <c:idx val="1"/>
          <c:order val="1"/>
          <c:tx>
            <c:strRef>
              <c:f>FMS!$C$2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FMS!$A$3:$A$22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FMS!$C$3:$C$22</c:f>
              <c:numCache>
                <c:formatCode>General</c:formatCode>
                <c:ptCount val="20"/>
                <c:pt idx="9">
                  <c:v>825</c:v>
                </c:pt>
                <c:pt idx="10" formatCode="0">
                  <c:v>870.0332519366201</c:v>
                </c:pt>
                <c:pt idx="11" formatCode="0">
                  <c:v>837.96508611176841</c:v>
                </c:pt>
                <c:pt idx="12" formatCode="0">
                  <c:v>743.00903890595725</c:v>
                </c:pt>
                <c:pt idx="13" formatCode="0">
                  <c:v>813.05646158860668</c:v>
                </c:pt>
                <c:pt idx="14" formatCode="0">
                  <c:v>845.9019454929047</c:v>
                </c:pt>
                <c:pt idx="15" formatCode="0">
                  <c:v>813.83377966805301</c:v>
                </c:pt>
                <c:pt idx="16" formatCode="0">
                  <c:v>718.87773246224185</c:v>
                </c:pt>
                <c:pt idx="17" formatCode="0">
                  <c:v>788.92515514489128</c:v>
                </c:pt>
                <c:pt idx="18" formatCode="0">
                  <c:v>821.7706390491893</c:v>
                </c:pt>
                <c:pt idx="19" formatCode="0">
                  <c:v>789.70247322433761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4-4FC2-B0DF-F44E2D0963BD}"/>
            </c:ext>
          </c:extLst>
        </c:ser>
        <c:ser>
          <c:idx val="2"/>
          <c:order val="2"/>
          <c:tx>
            <c:strRef>
              <c:f>FMS!$D$2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FMS!$A$3:$A$22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FMS!$D$3:$D$22</c:f>
              <c:numCache>
                <c:formatCode>General</c:formatCode>
                <c:ptCount val="20"/>
                <c:pt idx="9" formatCode="0.00">
                  <c:v>825</c:v>
                </c:pt>
                <c:pt idx="10" formatCode="0.00">
                  <c:v>733.49520834133125</c:v>
                </c:pt>
                <c:pt idx="11" formatCode="0.00">
                  <c:v>685.18859403499869</c:v>
                </c:pt>
                <c:pt idx="12" formatCode="0.00">
                  <c:v>575.50557158580546</c:v>
                </c:pt>
                <c:pt idx="13" formatCode="0.00">
                  <c:v>631.96825177616938</c:v>
                </c:pt>
                <c:pt idx="14" formatCode="0.00">
                  <c:v>652.08211671030028</c:v>
                </c:pt>
                <c:pt idx="15" formatCode="0.00">
                  <c:v>608.06859231712406</c:v>
                </c:pt>
                <c:pt idx="16" formatCode="0.00">
                  <c:v>501.78009633176248</c:v>
                </c:pt>
                <c:pt idx="17" formatCode="0.00">
                  <c:v>561.01645154138646</c:v>
                </c:pt>
                <c:pt idx="18" formatCode="0.00">
                  <c:v>583.46132921707078</c:v>
                </c:pt>
                <c:pt idx="19" formatCode="0.00">
                  <c:v>541.42787297878078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4-4FC2-B0DF-F44E2D0963BD}"/>
            </c:ext>
          </c:extLst>
        </c:ser>
        <c:ser>
          <c:idx val="3"/>
          <c:order val="3"/>
          <c:tx>
            <c:strRef>
              <c:f>FMS!$E$2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FMS!$A$3:$A$22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FMS!$E$3:$E$22</c:f>
              <c:numCache>
                <c:formatCode>General</c:formatCode>
                <c:ptCount val="20"/>
                <c:pt idx="9" formatCode="0.00">
                  <c:v>825</c:v>
                </c:pt>
                <c:pt idx="10" formatCode="0.00">
                  <c:v>1006.571295531909</c:v>
                </c:pt>
                <c:pt idx="11" formatCode="0.00">
                  <c:v>990.74157818853814</c:v>
                </c:pt>
                <c:pt idx="12" formatCode="0.00">
                  <c:v>910.51250622610905</c:v>
                </c:pt>
                <c:pt idx="13" formatCode="0.00">
                  <c:v>994.14467140104398</c:v>
                </c:pt>
                <c:pt idx="14" formatCode="0.00">
                  <c:v>1039.7217742755092</c:v>
                </c:pt>
                <c:pt idx="15" formatCode="0.00">
                  <c:v>1019.598967018982</c:v>
                </c:pt>
                <c:pt idx="16" formatCode="0.00">
                  <c:v>935.97536859272122</c:v>
                </c:pt>
                <c:pt idx="17" formatCode="0.00">
                  <c:v>1016.8338587483961</c:v>
                </c:pt>
                <c:pt idx="18" formatCode="0.00">
                  <c:v>1060.0799488813077</c:v>
                </c:pt>
                <c:pt idx="19" formatCode="0.00">
                  <c:v>1037.9770734698945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04-4FC2-B0DF-F44E2D09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57248"/>
        <c:axId val="588773056"/>
      </c:lineChart>
      <c:catAx>
        <c:axId val="5887572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3056"/>
        <c:crosses val="autoZero"/>
        <c:auto val="1"/>
        <c:lblAlgn val="ctr"/>
        <c:lblOffset val="100"/>
        <c:noMultiLvlLbl val="0"/>
      </c:catAx>
      <c:valAx>
        <c:axId val="5887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FSS!$B$2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FSS!$B$3:$B$20</c:f>
              <c:numCache>
                <c:formatCode>General</c:formatCode>
                <c:ptCount val="18"/>
                <c:pt idx="0">
                  <c:v>308</c:v>
                </c:pt>
                <c:pt idx="1">
                  <c:v>234</c:v>
                </c:pt>
                <c:pt idx="2">
                  <c:v>217</c:v>
                </c:pt>
                <c:pt idx="3">
                  <c:v>235</c:v>
                </c:pt>
                <c:pt idx="4">
                  <c:v>255</c:v>
                </c:pt>
                <c:pt idx="5">
                  <c:v>293</c:v>
                </c:pt>
                <c:pt idx="6">
                  <c:v>334</c:v>
                </c:pt>
                <c:pt idx="7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F-457D-A407-0D50E9E2CD90}"/>
            </c:ext>
          </c:extLst>
        </c:ser>
        <c:ser>
          <c:idx val="1"/>
          <c:order val="1"/>
          <c:tx>
            <c:strRef>
              <c:f>FSS!$C$2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FSS!$A$3:$A$20</c:f>
              <c:numCache>
                <c:formatCode>General</c:formatCode>
                <c:ptCount val="1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</c:numCache>
            </c:numRef>
          </c:cat>
          <c:val>
            <c:numRef>
              <c:f>FSS!$C$3:$C$20</c:f>
              <c:numCache>
                <c:formatCode>General</c:formatCode>
                <c:ptCount val="18"/>
                <c:pt idx="7">
                  <c:v>312</c:v>
                </c:pt>
                <c:pt idx="8" formatCode="0">
                  <c:v>315.89070416710484</c:v>
                </c:pt>
                <c:pt idx="9" formatCode="0">
                  <c:v>386.86163766513118</c:v>
                </c:pt>
                <c:pt idx="10" formatCode="0">
                  <c:v>356.02789432449731</c:v>
                </c:pt>
                <c:pt idx="11" formatCode="0">
                  <c:v>360.90736927033277</c:v>
                </c:pt>
                <c:pt idx="12" formatCode="0">
                  <c:v>431.87830276835916</c:v>
                </c:pt>
                <c:pt idx="13" formatCode="0">
                  <c:v>401.04455942772529</c:v>
                </c:pt>
                <c:pt idx="14" formatCode="0">
                  <c:v>405.92403437356074</c:v>
                </c:pt>
                <c:pt idx="15" formatCode="0">
                  <c:v>476.89496787158703</c:v>
                </c:pt>
                <c:pt idx="16" formatCode="0">
                  <c:v>446.06122453095321</c:v>
                </c:pt>
                <c:pt idx="17" formatCode="0">
                  <c:v>450.94069947678867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0F-457D-A407-0D50E9E2CD90}"/>
            </c:ext>
          </c:extLst>
        </c:ser>
        <c:ser>
          <c:idx val="2"/>
          <c:order val="2"/>
          <c:tx>
            <c:strRef>
              <c:f>FSS!$D$2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FSS!$A$3:$A$20</c:f>
              <c:numCache>
                <c:formatCode>General</c:formatCode>
                <c:ptCount val="1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</c:numCache>
            </c:numRef>
          </c:cat>
          <c:val>
            <c:numRef>
              <c:f>FSS!$D$3:$D$20</c:f>
              <c:numCache>
                <c:formatCode>General</c:formatCode>
                <c:ptCount val="18"/>
                <c:pt idx="7" formatCode="0.00">
                  <c:v>312</c:v>
                </c:pt>
                <c:pt idx="8" formatCode="0.00">
                  <c:v>246.17680629026856</c:v>
                </c:pt>
                <c:pt idx="9" formatCode="0.00">
                  <c:v>299.6355373230972</c:v>
                </c:pt>
                <c:pt idx="10" formatCode="0.00">
                  <c:v>254.22380822748073</c:v>
                </c:pt>
                <c:pt idx="11" formatCode="0.00">
                  <c:v>246.30191933739366</c:v>
                </c:pt>
                <c:pt idx="12" formatCode="0.00">
                  <c:v>305.76428149152389</c:v>
                </c:pt>
                <c:pt idx="13" formatCode="0.00">
                  <c:v>264.36088420447265</c:v>
                </c:pt>
                <c:pt idx="14" formatCode="0.00">
                  <c:v>259.38112616609988</c:v>
                </c:pt>
                <c:pt idx="15" formatCode="0.00">
                  <c:v>321.11556994212719</c:v>
                </c:pt>
                <c:pt idx="16" formatCode="0.00">
                  <c:v>281.54073840708497</c:v>
                </c:pt>
                <c:pt idx="17" formatCode="0.00">
                  <c:v>278.07793780332497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0F-457D-A407-0D50E9E2CD90}"/>
            </c:ext>
          </c:extLst>
        </c:ser>
        <c:ser>
          <c:idx val="3"/>
          <c:order val="3"/>
          <c:tx>
            <c:strRef>
              <c:f>FSS!$E$2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FSS!$A$3:$A$20</c:f>
              <c:numCache>
                <c:formatCode>General</c:formatCode>
                <c:ptCount val="1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</c:numCache>
            </c:numRef>
          </c:cat>
          <c:val>
            <c:numRef>
              <c:f>FSS!$E$3:$E$20</c:f>
              <c:numCache>
                <c:formatCode>General</c:formatCode>
                <c:ptCount val="18"/>
                <c:pt idx="7" formatCode="0.00">
                  <c:v>312</c:v>
                </c:pt>
                <c:pt idx="8" formatCode="0.00">
                  <c:v>385.6046020439411</c:v>
                </c:pt>
                <c:pt idx="9" formatCode="0.00">
                  <c:v>474.08773800716517</c:v>
                </c:pt>
                <c:pt idx="10" formatCode="0.00">
                  <c:v>457.83198042151389</c:v>
                </c:pt>
                <c:pt idx="11" formatCode="0.00">
                  <c:v>475.51281920327187</c:v>
                </c:pt>
                <c:pt idx="12" formatCode="0.00">
                  <c:v>557.99232404519444</c:v>
                </c:pt>
                <c:pt idx="13" formatCode="0.00">
                  <c:v>537.72823465097792</c:v>
                </c:pt>
                <c:pt idx="14" formatCode="0.00">
                  <c:v>552.46694258102161</c:v>
                </c:pt>
                <c:pt idx="15" formatCode="0.00">
                  <c:v>632.67436580104686</c:v>
                </c:pt>
                <c:pt idx="16" formatCode="0.00">
                  <c:v>610.58171065482145</c:v>
                </c:pt>
                <c:pt idx="17" formatCode="0.00">
                  <c:v>623.80346115025236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0F-457D-A407-0D50E9E2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61824"/>
        <c:axId val="588750176"/>
      </c:lineChart>
      <c:catAx>
        <c:axId val="58876182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50176"/>
        <c:crosses val="autoZero"/>
        <c:auto val="1"/>
        <c:lblAlgn val="ctr"/>
        <c:lblOffset val="100"/>
        <c:noMultiLvlLbl val="0"/>
      </c:catAx>
      <c:valAx>
        <c:axId val="5887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FLAW!$B$2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FLAW!$B$3:$B$22</c:f>
              <c:numCache>
                <c:formatCode>General</c:formatCode>
                <c:ptCount val="20"/>
                <c:pt idx="0">
                  <c:v>61</c:v>
                </c:pt>
                <c:pt idx="1">
                  <c:v>86</c:v>
                </c:pt>
                <c:pt idx="2">
                  <c:v>71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75</c:v>
                </c:pt>
                <c:pt idx="7">
                  <c:v>91</c:v>
                </c:pt>
                <c:pt idx="8">
                  <c:v>113</c:v>
                </c:pt>
                <c:pt idx="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8-4A28-92D9-A7E937642075}"/>
            </c:ext>
          </c:extLst>
        </c:ser>
        <c:ser>
          <c:idx val="1"/>
          <c:order val="1"/>
          <c:tx>
            <c:strRef>
              <c:f>FLAW!$C$2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FLAW!$A$3:$A$22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FLAW!$C$3:$C$22</c:f>
              <c:numCache>
                <c:formatCode>General</c:formatCode>
                <c:ptCount val="20"/>
                <c:pt idx="9">
                  <c:v>94</c:v>
                </c:pt>
                <c:pt idx="10" formatCode="0">
                  <c:v>109.08267485587041</c:v>
                </c:pt>
                <c:pt idx="11" formatCode="0">
                  <c:v>112.7267506646879</c:v>
                </c:pt>
                <c:pt idx="12" formatCode="0">
                  <c:v>108.70542709993286</c:v>
                </c:pt>
                <c:pt idx="13" formatCode="0">
                  <c:v>122.27233886649319</c:v>
                </c:pt>
                <c:pt idx="14" formatCode="0">
                  <c:v>125.91641467531068</c:v>
                </c:pt>
                <c:pt idx="15" formatCode="0">
                  <c:v>121.89509111055564</c:v>
                </c:pt>
                <c:pt idx="16" formatCode="0">
                  <c:v>135.46200287711594</c:v>
                </c:pt>
                <c:pt idx="17" formatCode="0">
                  <c:v>139.10607868593345</c:v>
                </c:pt>
                <c:pt idx="18" formatCode="0">
                  <c:v>135.0847551211784</c:v>
                </c:pt>
                <c:pt idx="19" formatCode="0">
                  <c:v>148.65166688773871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8-4A28-92D9-A7E937642075}"/>
            </c:ext>
          </c:extLst>
        </c:ser>
        <c:ser>
          <c:idx val="2"/>
          <c:order val="2"/>
          <c:tx>
            <c:strRef>
              <c:f>FLAW!$D$2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FLAW!$A$3:$A$22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FLAW!$D$3:$D$22</c:f>
              <c:numCache>
                <c:formatCode>General</c:formatCode>
                <c:ptCount val="20"/>
                <c:pt idx="9" formatCode="0.00">
                  <c:v>94</c:v>
                </c:pt>
                <c:pt idx="10" formatCode="0.00">
                  <c:v>86.311203765487349</c:v>
                </c:pt>
                <c:pt idx="11" formatCode="0.00">
                  <c:v>89.772373618106812</c:v>
                </c:pt>
                <c:pt idx="12" formatCode="0.00">
                  <c:v>85.566732598158367</c:v>
                </c:pt>
                <c:pt idx="13" formatCode="0.00">
                  <c:v>98.94504782182986</c:v>
                </c:pt>
                <c:pt idx="14" formatCode="0.00">
                  <c:v>102.40203967365667</c:v>
                </c:pt>
                <c:pt idx="15" formatCode="0.00">
                  <c:v>98.192253835934949</c:v>
                </c:pt>
                <c:pt idx="16" formatCode="0.00">
                  <c:v>111.56646046685094</c:v>
                </c:pt>
                <c:pt idx="17" formatCode="0.00">
                  <c:v>115.0193728236866</c:v>
                </c:pt>
                <c:pt idx="18" formatCode="0.00">
                  <c:v>110.80553969604259</c:v>
                </c:pt>
                <c:pt idx="19" formatCode="0.00">
                  <c:v>124.17573553529488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8-4A28-92D9-A7E937642075}"/>
            </c:ext>
          </c:extLst>
        </c:ser>
        <c:ser>
          <c:idx val="3"/>
          <c:order val="3"/>
          <c:tx>
            <c:strRef>
              <c:f>FLAW!$E$2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FLAW!$A$3:$A$22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FLAW!$E$3:$E$22</c:f>
              <c:numCache>
                <c:formatCode>General</c:formatCode>
                <c:ptCount val="20"/>
                <c:pt idx="9" formatCode="0.00">
                  <c:v>94</c:v>
                </c:pt>
                <c:pt idx="10" formatCode="0.00">
                  <c:v>131.85414594625345</c:v>
                </c:pt>
                <c:pt idx="11" formatCode="0.00">
                  <c:v>135.68112771126897</c:v>
                </c:pt>
                <c:pt idx="12" formatCode="0.00">
                  <c:v>131.84412160170734</c:v>
                </c:pt>
                <c:pt idx="13" formatCode="0.00">
                  <c:v>145.59962991115651</c:v>
                </c:pt>
                <c:pt idx="14" formatCode="0.00">
                  <c:v>149.43078967696468</c:v>
                </c:pt>
                <c:pt idx="15" formatCode="0.00">
                  <c:v>145.59792838517632</c:v>
                </c:pt>
                <c:pt idx="16" formatCode="0.00">
                  <c:v>159.35754528738093</c:v>
                </c:pt>
                <c:pt idx="17" formatCode="0.00">
                  <c:v>163.19278454818033</c:v>
                </c:pt>
                <c:pt idx="18" formatCode="0.00">
                  <c:v>159.36397054631422</c:v>
                </c:pt>
                <c:pt idx="19" formatCode="0.00">
                  <c:v>173.12759824018255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08-4A28-92D9-A7E93764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364704"/>
        <c:axId val="1455358048"/>
      </c:lineChart>
      <c:catAx>
        <c:axId val="14553647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58048"/>
        <c:crosses val="autoZero"/>
        <c:auto val="1"/>
        <c:lblAlgn val="ctr"/>
        <c:lblOffset val="100"/>
        <c:noMultiLvlLbl val="0"/>
      </c:catAx>
      <c:valAx>
        <c:axId val="14553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6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MBBS!$B$2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MBBS!$B$3:$B$22</c:f>
              <c:numCache>
                <c:formatCode>General</c:formatCode>
                <c:ptCount val="20"/>
                <c:pt idx="0">
                  <c:v>112</c:v>
                </c:pt>
                <c:pt idx="1">
                  <c:v>156</c:v>
                </c:pt>
                <c:pt idx="2">
                  <c:v>157</c:v>
                </c:pt>
                <c:pt idx="3">
                  <c:v>161</c:v>
                </c:pt>
                <c:pt idx="4">
                  <c:v>162</c:v>
                </c:pt>
                <c:pt idx="5">
                  <c:v>137</c:v>
                </c:pt>
                <c:pt idx="6">
                  <c:v>177</c:v>
                </c:pt>
                <c:pt idx="7">
                  <c:v>194</c:v>
                </c:pt>
                <c:pt idx="8">
                  <c:v>218</c:v>
                </c:pt>
                <c:pt idx="9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4-47FF-A081-0BAFCA6E7FB9}"/>
            </c:ext>
          </c:extLst>
        </c:ser>
        <c:ser>
          <c:idx val="1"/>
          <c:order val="1"/>
          <c:tx>
            <c:strRef>
              <c:f>MBBS!$C$2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MBBS!$A$3:$A$22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MBBS!$C$3:$C$22</c:f>
              <c:numCache>
                <c:formatCode>General</c:formatCode>
                <c:ptCount val="20"/>
                <c:pt idx="9">
                  <c:v>190</c:v>
                </c:pt>
                <c:pt idx="10" formatCode="0">
                  <c:v>210.46191591448388</c:v>
                </c:pt>
                <c:pt idx="11" formatCode="0">
                  <c:v>218.67338261252041</c:v>
                </c:pt>
                <c:pt idx="12" formatCode="0">
                  <c:v>226.88484931055692</c:v>
                </c:pt>
                <c:pt idx="13" formatCode="0">
                  <c:v>235.09631600859345</c:v>
                </c:pt>
                <c:pt idx="14" formatCode="0">
                  <c:v>243.30778270662998</c:v>
                </c:pt>
                <c:pt idx="15" formatCode="0">
                  <c:v>251.51924940466648</c:v>
                </c:pt>
                <c:pt idx="16" formatCode="0">
                  <c:v>259.73071610270301</c:v>
                </c:pt>
                <c:pt idx="17" formatCode="0">
                  <c:v>267.94218280073954</c:v>
                </c:pt>
                <c:pt idx="18" formatCode="0">
                  <c:v>276.15364949877608</c:v>
                </c:pt>
                <c:pt idx="19" formatCode="0">
                  <c:v>284.36511619681261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4-47FF-A081-0BAFCA6E7FB9}"/>
            </c:ext>
          </c:extLst>
        </c:ser>
        <c:ser>
          <c:idx val="2"/>
          <c:order val="2"/>
          <c:tx>
            <c:strRef>
              <c:f>MBBS!$D$2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MBBS!$A$3:$A$22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MBBS!$D$3:$D$22</c:f>
              <c:numCache>
                <c:formatCode>General</c:formatCode>
                <c:ptCount val="20"/>
                <c:pt idx="9" formatCode="0.00">
                  <c:v>190</c:v>
                </c:pt>
                <c:pt idx="10" formatCode="0.00">
                  <c:v>170.86162038173711</c:v>
                </c:pt>
                <c:pt idx="11" formatCode="0.00">
                  <c:v>177.84470973352535</c:v>
                </c:pt>
                <c:pt idx="12" formatCode="0.00">
                  <c:v>184.8543074618911</c:v>
                </c:pt>
                <c:pt idx="13" formatCode="0.00">
                  <c:v>191.88816516011255</c:v>
                </c:pt>
                <c:pt idx="14" formatCode="0.00">
                  <c:v>198.94431552489701</c:v>
                </c:pt>
                <c:pt idx="15" formatCode="0.00">
                  <c:v>206.0210258527726</c:v>
                </c:pt>
                <c:pt idx="16" formatCode="0.00">
                  <c:v>213.11676095950435</c:v>
                </c:pt>
                <c:pt idx="17" formatCode="0.00">
                  <c:v>220.23015329146816</c:v>
                </c:pt>
                <c:pt idx="18" formatCode="0.00">
                  <c:v>227.35997859619627</c:v>
                </c:pt>
                <c:pt idx="19" formatCode="0.00">
                  <c:v>234.50513593983706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F4-47FF-A081-0BAFCA6E7FB9}"/>
            </c:ext>
          </c:extLst>
        </c:ser>
        <c:ser>
          <c:idx val="3"/>
          <c:order val="3"/>
          <c:tx>
            <c:strRef>
              <c:f>MBBS!$E$2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MBBS!$A$3:$A$22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MBBS!$E$3:$E$22</c:f>
              <c:numCache>
                <c:formatCode>General</c:formatCode>
                <c:ptCount val="20"/>
                <c:pt idx="9" formatCode="0.00">
                  <c:v>190</c:v>
                </c:pt>
                <c:pt idx="10" formatCode="0.00">
                  <c:v>250.06221144723065</c:v>
                </c:pt>
                <c:pt idx="11" formatCode="0.00">
                  <c:v>259.50205549151548</c:v>
                </c:pt>
                <c:pt idx="12" formatCode="0.00">
                  <c:v>268.91539115922274</c:v>
                </c:pt>
                <c:pt idx="13" formatCode="0.00">
                  <c:v>278.30446685707437</c:v>
                </c:pt>
                <c:pt idx="14" formatCode="0.00">
                  <c:v>287.67124988836292</c:v>
                </c:pt>
                <c:pt idx="15" formatCode="0.00">
                  <c:v>297.01747295656037</c:v>
                </c:pt>
                <c:pt idx="16" formatCode="0.00">
                  <c:v>306.34467124590168</c:v>
                </c:pt>
                <c:pt idx="17" formatCode="0.00">
                  <c:v>315.65421231001091</c:v>
                </c:pt>
                <c:pt idx="18" formatCode="0.00">
                  <c:v>324.94732040135591</c:v>
                </c:pt>
                <c:pt idx="19" formatCode="0.00">
                  <c:v>334.22509645378818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F4-47FF-A081-0BAFCA6E7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156064"/>
        <c:axId val="1455156480"/>
      </c:lineChart>
      <c:catAx>
        <c:axId val="14551560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56480"/>
        <c:crosses val="autoZero"/>
        <c:auto val="1"/>
        <c:lblAlgn val="ctr"/>
        <c:lblOffset val="100"/>
        <c:noMultiLvlLbl val="0"/>
      </c:catAx>
      <c:valAx>
        <c:axId val="14551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'Health Science'!$B$2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'Health Science'!$B$3:$B$22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26</c:v>
                </c:pt>
                <c:pt idx="3">
                  <c:v>69</c:v>
                </c:pt>
                <c:pt idx="4">
                  <c:v>113</c:v>
                </c:pt>
                <c:pt idx="5">
                  <c:v>152</c:v>
                </c:pt>
                <c:pt idx="6">
                  <c:v>221</c:v>
                </c:pt>
                <c:pt idx="7">
                  <c:v>247</c:v>
                </c:pt>
                <c:pt idx="8">
                  <c:v>305</c:v>
                </c:pt>
                <c:pt idx="9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A-4AD4-AA12-C08B85A3F798}"/>
            </c:ext>
          </c:extLst>
        </c:ser>
        <c:ser>
          <c:idx val="1"/>
          <c:order val="1"/>
          <c:tx>
            <c:strRef>
              <c:f>'Health Science'!$C$2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'Health Science'!$A$3:$A$22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'Health Science'!$C$3:$C$22</c:f>
              <c:numCache>
                <c:formatCode>General</c:formatCode>
                <c:ptCount val="20"/>
                <c:pt idx="9">
                  <c:v>266</c:v>
                </c:pt>
                <c:pt idx="10" formatCode="0">
                  <c:v>343.10664439170273</c:v>
                </c:pt>
                <c:pt idx="11" formatCode="0">
                  <c:v>379.77491722642219</c:v>
                </c:pt>
                <c:pt idx="12" formatCode="0">
                  <c:v>416.44319006114171</c:v>
                </c:pt>
                <c:pt idx="13" formatCode="0">
                  <c:v>453.11146289586117</c:v>
                </c:pt>
                <c:pt idx="14" formatCode="0">
                  <c:v>489.77973573058063</c:v>
                </c:pt>
                <c:pt idx="15" formatCode="0">
                  <c:v>526.44800856530014</c:v>
                </c:pt>
                <c:pt idx="16" formatCode="0">
                  <c:v>563.1162814000196</c:v>
                </c:pt>
                <c:pt idx="17" formatCode="0">
                  <c:v>599.78455423473906</c:v>
                </c:pt>
                <c:pt idx="18" formatCode="0">
                  <c:v>636.45282706945852</c:v>
                </c:pt>
                <c:pt idx="19" formatCode="0">
                  <c:v>673.12109990417798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A-4AD4-AA12-C08B85A3F798}"/>
            </c:ext>
          </c:extLst>
        </c:ser>
        <c:ser>
          <c:idx val="2"/>
          <c:order val="2"/>
          <c:tx>
            <c:strRef>
              <c:f>'Health Science'!$D$2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'Health Science'!$A$3:$A$22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'Health Science'!$D$3:$D$22</c:f>
              <c:numCache>
                <c:formatCode>General</c:formatCode>
                <c:ptCount val="20"/>
                <c:pt idx="9" formatCode="0.00">
                  <c:v>266</c:v>
                </c:pt>
                <c:pt idx="10" formatCode="0.00">
                  <c:v>288.39539321431948</c:v>
                </c:pt>
                <c:pt idx="11" formatCode="0.00">
                  <c:v>323.36655594854426</c:v>
                </c:pt>
                <c:pt idx="12" formatCode="0.00">
                  <c:v>358.37434230968222</c:v>
                </c:pt>
                <c:pt idx="13" formatCode="0.00">
                  <c:v>393.41564592836761</c:v>
                </c:pt>
                <c:pt idx="14" formatCode="0.00">
                  <c:v>428.48774880406194</c:v>
                </c:pt>
                <c:pt idx="15" formatCode="0.00">
                  <c:v>463.58825705627544</c:v>
                </c:pt>
                <c:pt idx="16" formatCode="0.00">
                  <c:v>498.71504969451667</c:v>
                </c:pt>
                <c:pt idx="17" formatCode="0.00">
                  <c:v>533.86623732455701</c:v>
                </c:pt>
                <c:pt idx="18" formatCode="0.00">
                  <c:v>569.04012853517429</c:v>
                </c:pt>
                <c:pt idx="19" formatCode="0.00">
                  <c:v>604.23520229053588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0A-4AD4-AA12-C08B85A3F798}"/>
            </c:ext>
          </c:extLst>
        </c:ser>
        <c:ser>
          <c:idx val="3"/>
          <c:order val="3"/>
          <c:tx>
            <c:strRef>
              <c:f>'Health Science'!$E$2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'Health Science'!$A$3:$A$22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'Health Science'!$E$3:$E$22</c:f>
              <c:numCache>
                <c:formatCode>General</c:formatCode>
                <c:ptCount val="20"/>
                <c:pt idx="9" formatCode="0.00">
                  <c:v>266</c:v>
                </c:pt>
                <c:pt idx="10" formatCode="0.00">
                  <c:v>397.81789556908598</c:v>
                </c:pt>
                <c:pt idx="11" formatCode="0.00">
                  <c:v>436.18327850430012</c:v>
                </c:pt>
                <c:pt idx="12" formatCode="0.00">
                  <c:v>474.51203781260119</c:v>
                </c:pt>
                <c:pt idx="13" formatCode="0.00">
                  <c:v>512.80727986335478</c:v>
                </c:pt>
                <c:pt idx="14" formatCode="0.00">
                  <c:v>551.07172265709937</c:v>
                </c:pt>
                <c:pt idx="15" formatCode="0.00">
                  <c:v>589.30776007432485</c:v>
                </c:pt>
                <c:pt idx="16" formatCode="0.00">
                  <c:v>627.51751310552254</c:v>
                </c:pt>
                <c:pt idx="17" formatCode="0.00">
                  <c:v>665.70287114492112</c:v>
                </c:pt>
                <c:pt idx="18" formatCode="0.00">
                  <c:v>703.86552560374275</c:v>
                </c:pt>
                <c:pt idx="19" formatCode="0.00">
                  <c:v>742.00699751782008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0A-4AD4-AA12-C08B85A3F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391408"/>
        <c:axId val="1246393488"/>
      </c:lineChart>
      <c:catAx>
        <c:axId val="12463914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93488"/>
        <c:crosses val="autoZero"/>
        <c:auto val="1"/>
        <c:lblAlgn val="ctr"/>
        <c:lblOffset val="100"/>
        <c:noMultiLvlLbl val="0"/>
      </c:catAx>
      <c:valAx>
        <c:axId val="12463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9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1412875</xdr:colOff>
      <xdr:row>4</xdr:row>
      <xdr:rowOff>92075</xdr:rowOff>
    </xdr:from>
    <xdr:to>
      <xdr:col>10</xdr:col>
      <xdr:colOff>415925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4</xdr:row>
      <xdr:rowOff>92075</xdr:rowOff>
    </xdr:from>
    <xdr:to>
      <xdr:col>9</xdr:col>
      <xdr:colOff>276225</xdr:colOff>
      <xdr:row>20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E22" totalsRowShown="0">
  <autoFilter ref="A2:E22"/>
  <tableColumns count="5">
    <tableColumn id="1" name="Year" dataDxfId="47"/>
    <tableColumn id="2" name="Total"/>
    <tableColumn id="3" name="Forecast(Total)" dataDxfId="46">
      <calculatedColumnFormula>_xlfn.FORECAST.ETS(A3,$B$3:$B$12,$A$3:$A$12,3,1)</calculatedColumnFormula>
    </tableColumn>
    <tableColumn id="4" name="Lower Confidence Bound(Total)" dataDxfId="45">
      <calculatedColumnFormula>C3-_xlfn.FORECAST.ETS.CONFINT(A3,$B$3:$B$12,$A$3:$A$12,0.95,3,1)</calculatedColumnFormula>
    </tableColumn>
    <tableColumn id="5" name="Upper Confidence Bound(Total)" dataDxfId="44">
      <calculatedColumnFormula>C3+_xlfn.FORECAST.ETS.CONFINT(A3,$B$3:$B$12,$A$3:$A$12,0.95,3,1)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A2:E10" totalsRowShown="0">
  <autoFilter ref="A2:E10"/>
  <tableColumns count="5">
    <tableColumn id="1" name="Year" dataDxfId="43"/>
    <tableColumn id="2" name="students"/>
    <tableColumn id="3" name="Forecast(students)" dataDxfId="42">
      <calculatedColumnFormula>_xlfn.FORECAST.ETS(A3,$B$3:$B$5,$A$3:$A$5,1,1)</calculatedColumnFormula>
    </tableColumn>
    <tableColumn id="4" name="Lower Confidence Bound(students)" dataDxfId="41">
      <calculatedColumnFormula>C3-_xlfn.FORECAST.ETS.CONFINT(A3,$B$3:$B$5,$A$3:$A$5,0.95,1,1)</calculatedColumnFormula>
    </tableColumn>
    <tableColumn id="5" name="Upper Confidence Bound(students)" dataDxfId="40">
      <calculatedColumnFormula>C3+_xlfn.FORECAST.ETS.CONFINT(A3,$B$3:$B$5,$A$3:$A$5,0.95,1,1)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:E22" totalsRowShown="0">
  <autoFilter ref="A2:E22"/>
  <tableColumns count="5">
    <tableColumn id="1" name="Year" dataDxfId="39"/>
    <tableColumn id="2" name="students"/>
    <tableColumn id="3" name="Forecast(students)" dataDxfId="38">
      <calculatedColumnFormula>_xlfn.FORECAST.ETS(A3,$B$3:$B$12,$A$3:$A$12,4,1)</calculatedColumnFormula>
    </tableColumn>
    <tableColumn id="4" name="Lower Confidence Bound(students)" dataDxfId="37">
      <calculatedColumnFormula>C3-_xlfn.FORECAST.ETS.CONFINT(A3,$B$3:$B$12,$A$3:$A$12,0.95,4,1)</calculatedColumnFormula>
    </tableColumn>
    <tableColumn id="5" name="Upper Confidence Bound(students)" dataDxfId="36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E22" totalsRowShown="0">
  <autoFilter ref="A2:E22"/>
  <tableColumns count="5">
    <tableColumn id="1" name="Year" dataDxfId="35"/>
    <tableColumn id="2" name="students"/>
    <tableColumn id="3" name="Forecast(students)" dataDxfId="34">
      <calculatedColumnFormula>_xlfn.FORECAST.ETS(A3,$B$3:$B$12,$A$3:$A$12,4,1)</calculatedColumnFormula>
    </tableColumn>
    <tableColumn id="4" name="Lower Confidence Bound(students)" dataDxfId="33">
      <calculatedColumnFormula>C3-_xlfn.FORECAST.ETS.CONFINT(A3,$B$3:$B$12,$A$3:$A$12,0.95,4,1)</calculatedColumnFormula>
    </tableColumn>
    <tableColumn id="5" name="Upper Confidence Bound(students)" dataDxfId="32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2:E22" totalsRowShown="0">
  <autoFilter ref="A2:E22"/>
  <tableColumns count="5">
    <tableColumn id="1" name="Year" dataDxfId="31"/>
    <tableColumn id="2" name="students"/>
    <tableColumn id="3" name="Forecast(students)" dataDxfId="30">
      <calculatedColumnFormula>_xlfn.FORECAST.ETS(A3,$B$3:$B$12,$A$3:$A$12,5,1)</calculatedColumnFormula>
    </tableColumn>
    <tableColumn id="4" name="Lower Confidence Bound(students)" dataDxfId="29">
      <calculatedColumnFormula>C3-_xlfn.FORECAST.ETS.CONFINT(A3,$B$3:$B$12,$A$3:$A$12,0.95,5,1)</calculatedColumnFormula>
    </tableColumn>
    <tableColumn id="5" name="Upper Confidence Bound(students)" dataDxfId="28">
      <calculatedColumnFormula>C3+_xlfn.FORECAST.ETS.CONFINT(A3,$B$3:$B$12,$A$3:$A$12,0.95,5,1)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E22" totalsRowShown="0">
  <autoFilter ref="A2:E22"/>
  <tableColumns count="5">
    <tableColumn id="1" name="Year" dataDxfId="27"/>
    <tableColumn id="2" name="students"/>
    <tableColumn id="3" name="Forecast(students)" dataDxfId="26">
      <calculatedColumnFormula>_xlfn.FORECAST.ETS(A3,$B$3:$B$12,$A$3:$A$12,7,1)</calculatedColumnFormula>
    </tableColumn>
    <tableColumn id="4" name="Lower Confidence Bound(students)" dataDxfId="25">
      <calculatedColumnFormula>C3-_xlfn.FORECAST.ETS.CONFINT(A3,$B$3:$B$12,$A$3:$A$12,0.95,7,1)</calculatedColumnFormula>
    </tableColumn>
    <tableColumn id="5" name="Upper Confidence Bound(students)" dataDxfId="24">
      <calculatedColumnFormula>C3+_xlfn.FORECAST.ETS.CONFINT(A3,$B$3:$B$12,$A$3:$A$12,0.95,7,1)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2:E22" totalsRowShown="0">
  <autoFilter ref="A2:E22"/>
  <tableColumns count="5">
    <tableColumn id="1" name="Year" dataDxfId="23"/>
    <tableColumn id="2" name="students"/>
    <tableColumn id="3" name="Forecast(students)" dataDxfId="22">
      <calculatedColumnFormula>_xlfn.FORECAST.ETS(A3,$B$3:$B$12,$A$3:$A$12,5,1)</calculatedColumnFormula>
    </tableColumn>
    <tableColumn id="4" name="Lower Confidence Bound(students)" dataDxfId="21">
      <calculatedColumnFormula>C3-_xlfn.FORECAST.ETS.CONFINT(A3,$B$3:$B$12,$A$3:$A$12,0.95,5,1)</calculatedColumnFormula>
    </tableColumn>
    <tableColumn id="5" name="Upper Confidence Bound(students)" dataDxfId="20">
      <calculatedColumnFormula>C3+_xlfn.FORECAST.ETS.CONFINT(A3,$B$3:$B$12,$A$3:$A$12,0.95,5,1)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2:E22" totalsRowShown="0">
  <autoFilter ref="A2:E22"/>
  <tableColumns count="5">
    <tableColumn id="1" name="Year" dataDxfId="19"/>
    <tableColumn id="2" name="students"/>
    <tableColumn id="3" name="Forecast(students)" dataDxfId="18">
      <calculatedColumnFormula>_xlfn.FORECAST.ETS(A3,$B$3:$B$12,$A$3:$A$12,4,1)</calculatedColumnFormula>
    </tableColumn>
    <tableColumn id="4" name="Lower Confidence Bound(students)" dataDxfId="17">
      <calculatedColumnFormula>C3-_xlfn.FORECAST.ETS.CONFINT(A3,$B$3:$B$12,$A$3:$A$12,0.95,4,1)</calculatedColumnFormula>
    </tableColumn>
    <tableColumn id="5" name="Upper Confidence Bound(students)" dataDxfId="16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" name="Table2" displayName="Table2" ref="A2:E20" totalsRowShown="0">
  <autoFilter ref="A2:E20"/>
  <tableColumns count="5">
    <tableColumn id="1" name="Year" dataDxfId="15"/>
    <tableColumn id="2" name="students"/>
    <tableColumn id="3" name="Forecast(students)" dataDxfId="14">
      <calculatedColumnFormula>_xlfn.FORECAST.ETS(A3,$B$3:$B$10,$A$3:$A$10,3,1)</calculatedColumnFormula>
    </tableColumn>
    <tableColumn id="4" name="Lower Confidence Bound(students)" dataDxfId="13">
      <calculatedColumnFormula>C3-_xlfn.FORECAST.ETS.CONFINT(A3,$B$3:$B$10,$A$3:$A$10,0.95,3,1)</calculatedColumnFormula>
    </tableColumn>
    <tableColumn id="5" name="Upper Confidence Bound(students)" dataDxfId="12">
      <calculatedColumnFormula>C3+_xlfn.FORECAST.ETS.CONFINT(A3,$B$3:$B$10,$A$3:$A$10,0.95,3,1)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A2:E22" totalsRowShown="0">
  <autoFilter ref="A2:E22"/>
  <tableColumns count="5">
    <tableColumn id="1" name="Year" dataDxfId="11"/>
    <tableColumn id="2" name="students"/>
    <tableColumn id="3" name="Forecast(students)" dataDxfId="10">
      <calculatedColumnFormula>_xlfn.FORECAST.ETS(A3,$B$3:$B$12,$A$3:$A$12,3,1)</calculatedColumnFormula>
    </tableColumn>
    <tableColumn id="4" name="Lower Confidence Bound(students)" dataDxfId="9">
      <calculatedColumnFormula>C3-_xlfn.FORECAST.ETS.CONFINT(A3,$B$3:$B$12,$A$3:$A$12,0.95,3,1)</calculatedColumnFormula>
    </tableColumn>
    <tableColumn id="5" name="Upper Confidence Bound(students)" dataDxfId="8">
      <calculatedColumnFormula>C3+_xlfn.FORECAST.ETS.CONFINT(A3,$B$3:$B$12,$A$3:$A$12,0.95,3,1)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A2:E22" totalsRowShown="0">
  <autoFilter ref="A2:E22"/>
  <tableColumns count="5">
    <tableColumn id="1" name="Year" dataDxfId="7"/>
    <tableColumn id="2" name="students"/>
    <tableColumn id="3" name="Forecast(students)" dataDxfId="6">
      <calculatedColumnFormula>_xlfn.FORECAST.ETS(A3,$B$3:$B$12,$A$3:$A$12,1,1)</calculatedColumnFormula>
    </tableColumn>
    <tableColumn id="4" name="Lower Confidence Bound(students)" dataDxfId="5">
      <calculatedColumnFormula>C3-_xlfn.FORECAST.ETS.CONFINT(A3,$B$3:$B$12,$A$3:$A$12,0.95,1,1)</calculatedColumnFormula>
    </tableColumn>
    <tableColumn id="5" name="Upper Confidence Bound(students)" dataDxfId="4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9" name="Table9" displayName="Table9" ref="A2:E22" totalsRowShown="0">
  <autoFilter ref="A2:E22"/>
  <tableColumns count="5">
    <tableColumn id="1" name="Year" dataDxfId="3"/>
    <tableColumn id="2" name="students"/>
    <tableColumn id="3" name="Forecast(students)" dataDxfId="2">
      <calculatedColumnFormula>_xlfn.FORECAST.ETS(A3,$B$3:$B$12,$A$3:$A$12,1,1)</calculatedColumnFormula>
    </tableColumn>
    <tableColumn id="4" name="Lower Confidence Bound(students)" dataDxfId="1">
      <calculatedColumnFormula>C3-_xlfn.FORECAST.ETS.CONFINT(A3,$B$3:$B$12,$A$3:$A$12,0.95,1,1)</calculatedColumnFormula>
    </tableColumn>
    <tableColumn id="5" name="Upper Confidence Bound(students)" dataDxfId="0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7" workbookViewId="0">
      <selection activeCell="C5" sqref="C5"/>
    </sheetView>
  </sheetViews>
  <sheetFormatPr defaultRowHeight="15" x14ac:dyDescent="0.25"/>
  <cols>
    <col min="2" max="2" width="56.140625" bestFit="1" customWidth="1"/>
    <col min="3" max="3" width="9.28515625" customWidth="1"/>
  </cols>
  <sheetData>
    <row r="1" spans="1:12" ht="18.75" x14ac:dyDescent="0.3">
      <c r="A1" s="5"/>
      <c r="B1" s="20" t="s">
        <v>22</v>
      </c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.75" x14ac:dyDescent="0.3">
      <c r="A2" s="5"/>
      <c r="B2" s="6" t="s">
        <v>5</v>
      </c>
      <c r="C2" s="7">
        <v>2014</v>
      </c>
      <c r="D2" s="8">
        <v>2015</v>
      </c>
      <c r="E2" s="8">
        <v>2016</v>
      </c>
      <c r="F2" s="8">
        <v>2017</v>
      </c>
      <c r="G2" s="8">
        <v>2018</v>
      </c>
      <c r="H2" s="8">
        <v>2019</v>
      </c>
      <c r="I2" s="8">
        <v>2020</v>
      </c>
      <c r="J2" s="8">
        <v>2021</v>
      </c>
      <c r="K2" s="8">
        <v>2022</v>
      </c>
      <c r="L2" s="8">
        <v>2023</v>
      </c>
    </row>
    <row r="3" spans="1:12" ht="18.75" x14ac:dyDescent="0.3">
      <c r="A3" s="5"/>
      <c r="B3" s="5" t="s">
        <v>6</v>
      </c>
      <c r="C3" s="9">
        <v>457</v>
      </c>
      <c r="D3" s="9">
        <v>423</v>
      </c>
      <c r="E3" s="9">
        <v>311</v>
      </c>
      <c r="F3" s="9">
        <v>276</v>
      </c>
      <c r="G3" s="9">
        <v>267</v>
      </c>
      <c r="H3" s="9">
        <v>301</v>
      </c>
      <c r="I3" s="9">
        <v>339</v>
      </c>
      <c r="J3" s="9">
        <v>395</v>
      </c>
      <c r="K3" s="9">
        <v>473</v>
      </c>
      <c r="L3" s="9">
        <v>492</v>
      </c>
    </row>
    <row r="4" spans="1:12" ht="18.75" x14ac:dyDescent="0.3">
      <c r="A4" s="5"/>
      <c r="B4" s="5" t="s">
        <v>7</v>
      </c>
      <c r="C4" s="9">
        <v>794</v>
      </c>
      <c r="D4" s="9">
        <v>631</v>
      </c>
      <c r="E4" s="9">
        <v>479</v>
      </c>
      <c r="F4" s="9">
        <v>387</v>
      </c>
      <c r="G4" s="9">
        <v>463</v>
      </c>
      <c r="H4" s="9">
        <v>490</v>
      </c>
      <c r="I4" s="9">
        <v>637</v>
      </c>
      <c r="J4" s="9">
        <v>840</v>
      </c>
      <c r="K4" s="9">
        <v>990</v>
      </c>
      <c r="L4" s="9">
        <v>988</v>
      </c>
    </row>
    <row r="5" spans="1:12" ht="18.75" x14ac:dyDescent="0.3">
      <c r="A5" s="5"/>
      <c r="B5" s="5" t="s">
        <v>8</v>
      </c>
      <c r="C5" s="9">
        <v>295</v>
      </c>
      <c r="D5" s="9">
        <v>327</v>
      </c>
      <c r="E5" s="9">
        <v>318</v>
      </c>
      <c r="F5" s="9">
        <v>324</v>
      </c>
      <c r="G5" s="9">
        <v>365</v>
      </c>
      <c r="H5" s="9">
        <v>374</v>
      </c>
      <c r="I5" s="9">
        <v>472</v>
      </c>
      <c r="J5" s="9">
        <v>486</v>
      </c>
      <c r="K5" s="9">
        <v>453</v>
      </c>
      <c r="L5" s="9">
        <v>414</v>
      </c>
    </row>
    <row r="6" spans="1:12" ht="18.75" x14ac:dyDescent="0.3">
      <c r="A6" s="5"/>
      <c r="B6" s="5" t="s">
        <v>9</v>
      </c>
      <c r="C6" s="9">
        <v>59</v>
      </c>
      <c r="D6" s="9">
        <v>103</v>
      </c>
      <c r="E6" s="9">
        <v>36</v>
      </c>
      <c r="F6" s="9">
        <v>141</v>
      </c>
      <c r="G6" s="9">
        <v>163</v>
      </c>
      <c r="H6" s="9">
        <v>182</v>
      </c>
      <c r="I6" s="9">
        <v>169</v>
      </c>
      <c r="J6" s="9">
        <v>99</v>
      </c>
      <c r="K6" s="9">
        <v>83</v>
      </c>
      <c r="L6" s="9">
        <v>69</v>
      </c>
    </row>
    <row r="7" spans="1:12" ht="18.75" x14ac:dyDescent="0.3">
      <c r="A7" s="5"/>
      <c r="B7" s="5" t="s">
        <v>10</v>
      </c>
      <c r="C7" s="9">
        <v>0</v>
      </c>
      <c r="D7" s="9">
        <v>115</v>
      </c>
      <c r="E7" s="9">
        <v>139</v>
      </c>
      <c r="F7" s="9">
        <v>168</v>
      </c>
      <c r="G7" s="9">
        <v>188</v>
      </c>
      <c r="H7" s="9">
        <v>163</v>
      </c>
      <c r="I7" s="9">
        <v>160</v>
      </c>
      <c r="J7" s="9">
        <v>154</v>
      </c>
      <c r="K7" s="9">
        <v>184</v>
      </c>
      <c r="L7" s="9">
        <v>191</v>
      </c>
    </row>
    <row r="8" spans="1:12" ht="18.75" x14ac:dyDescent="0.3">
      <c r="A8" s="5"/>
      <c r="B8" s="5" t="s">
        <v>11</v>
      </c>
      <c r="C8" s="9">
        <v>61</v>
      </c>
      <c r="D8" s="9">
        <v>86</v>
      </c>
      <c r="E8" s="9">
        <v>71</v>
      </c>
      <c r="F8" s="9">
        <v>68</v>
      </c>
      <c r="G8" s="9">
        <v>68</v>
      </c>
      <c r="H8" s="9">
        <v>68</v>
      </c>
      <c r="I8" s="9">
        <v>75</v>
      </c>
      <c r="J8" s="9">
        <v>91</v>
      </c>
      <c r="K8" s="9">
        <v>113</v>
      </c>
      <c r="L8" s="9">
        <v>94</v>
      </c>
    </row>
    <row r="9" spans="1:12" ht="18.75" x14ac:dyDescent="0.3">
      <c r="A9" s="5"/>
      <c r="B9" s="5" t="s">
        <v>12</v>
      </c>
      <c r="C9" s="9">
        <v>865</v>
      </c>
      <c r="D9" s="9">
        <v>1013</v>
      </c>
      <c r="E9" s="9">
        <v>893</v>
      </c>
      <c r="F9" s="9">
        <v>819</v>
      </c>
      <c r="G9" s="9">
        <v>722</v>
      </c>
      <c r="H9" s="9">
        <v>725</v>
      </c>
      <c r="I9" s="9">
        <v>794</v>
      </c>
      <c r="J9" s="9">
        <v>820</v>
      </c>
      <c r="K9" s="9">
        <v>861</v>
      </c>
      <c r="L9" s="9">
        <v>825</v>
      </c>
    </row>
    <row r="10" spans="1:12" ht="18.75" x14ac:dyDescent="0.3">
      <c r="A10" s="5"/>
      <c r="B10" s="5" t="s">
        <v>13</v>
      </c>
      <c r="C10" s="9">
        <v>112</v>
      </c>
      <c r="D10" s="9">
        <v>156</v>
      </c>
      <c r="E10" s="9">
        <v>157</v>
      </c>
      <c r="F10" s="9">
        <v>161</v>
      </c>
      <c r="G10" s="9">
        <v>162</v>
      </c>
      <c r="H10" s="9">
        <v>137</v>
      </c>
      <c r="I10" s="9">
        <v>177</v>
      </c>
      <c r="J10" s="9">
        <v>194</v>
      </c>
      <c r="K10" s="9">
        <v>218</v>
      </c>
      <c r="L10" s="9">
        <v>190</v>
      </c>
    </row>
    <row r="11" spans="1:12" ht="18.75" x14ac:dyDescent="0.3">
      <c r="A11" s="5"/>
      <c r="B11" s="5" t="s">
        <v>14</v>
      </c>
      <c r="C11" s="9">
        <v>0</v>
      </c>
      <c r="D11" s="9">
        <v>9</v>
      </c>
      <c r="E11" s="9">
        <v>26</v>
      </c>
      <c r="F11" s="9">
        <v>69</v>
      </c>
      <c r="G11" s="9">
        <v>113</v>
      </c>
      <c r="H11" s="9">
        <v>152</v>
      </c>
      <c r="I11" s="9">
        <v>221</v>
      </c>
      <c r="J11" s="9">
        <v>247</v>
      </c>
      <c r="K11" s="9">
        <v>305</v>
      </c>
      <c r="L11" s="9">
        <v>266</v>
      </c>
    </row>
    <row r="12" spans="1:12" ht="18.75" x14ac:dyDescent="0.3">
      <c r="A12" s="5"/>
      <c r="B12" s="5" t="s">
        <v>15</v>
      </c>
      <c r="C12" s="9">
        <v>587</v>
      </c>
      <c r="D12" s="9">
        <v>494</v>
      </c>
      <c r="E12" s="9">
        <v>308</v>
      </c>
      <c r="F12" s="9">
        <v>234</v>
      </c>
      <c r="G12" s="9">
        <v>217</v>
      </c>
      <c r="H12" s="9">
        <v>235</v>
      </c>
      <c r="I12" s="9">
        <v>255</v>
      </c>
      <c r="J12" s="9">
        <v>293</v>
      </c>
      <c r="K12" s="9">
        <v>334</v>
      </c>
      <c r="L12" s="9">
        <v>312</v>
      </c>
    </row>
    <row r="13" spans="1:12" ht="18.75" x14ac:dyDescent="0.3">
      <c r="A13" s="5"/>
      <c r="B13" s="5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8.75" x14ac:dyDescent="0.3">
      <c r="A14" s="5"/>
      <c r="B14" s="6" t="s">
        <v>23</v>
      </c>
      <c r="C14" s="11">
        <f>SUM(C3:C12)</f>
        <v>3230</v>
      </c>
      <c r="D14" s="11">
        <f t="shared" ref="D14:L14" si="0">SUM(D3:D12)</f>
        <v>3357</v>
      </c>
      <c r="E14" s="11">
        <f t="shared" si="0"/>
        <v>2738</v>
      </c>
      <c r="F14" s="11">
        <f t="shared" si="0"/>
        <v>2647</v>
      </c>
      <c r="G14" s="11">
        <f t="shared" si="0"/>
        <v>2728</v>
      </c>
      <c r="H14" s="11">
        <f t="shared" si="0"/>
        <v>2827</v>
      </c>
      <c r="I14" s="11">
        <f t="shared" si="0"/>
        <v>3299</v>
      </c>
      <c r="J14" s="11">
        <f t="shared" si="0"/>
        <v>3619</v>
      </c>
      <c r="K14" s="11">
        <f t="shared" si="0"/>
        <v>4014</v>
      </c>
      <c r="L14" s="11">
        <f t="shared" si="0"/>
        <v>3841</v>
      </c>
    </row>
    <row r="15" spans="1:12" ht="18.75" x14ac:dyDescent="0.3">
      <c r="A15" s="5"/>
      <c r="B15" s="5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8.75" x14ac:dyDescent="0.3">
      <c r="A16" s="5"/>
      <c r="B16" s="5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8.75" x14ac:dyDescent="0.3">
      <c r="A17" s="5"/>
      <c r="B17" s="5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8.75" x14ac:dyDescent="0.3">
      <c r="A18" s="5"/>
      <c r="B18" s="20" t="s">
        <v>24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ht="18.75" x14ac:dyDescent="0.3">
      <c r="A19" s="5"/>
      <c r="B19" s="6" t="s">
        <v>5</v>
      </c>
      <c r="C19" s="7">
        <v>2014</v>
      </c>
      <c r="D19" s="8">
        <v>2015</v>
      </c>
      <c r="E19" s="8">
        <v>2016</v>
      </c>
      <c r="F19" s="8">
        <v>2017</v>
      </c>
      <c r="G19" s="8">
        <v>2018</v>
      </c>
      <c r="H19" s="8">
        <v>2019</v>
      </c>
      <c r="I19" s="8">
        <v>2020</v>
      </c>
      <c r="J19" s="8">
        <v>2021</v>
      </c>
      <c r="K19" s="8">
        <v>2022</v>
      </c>
      <c r="L19" s="8">
        <v>2023</v>
      </c>
    </row>
    <row r="20" spans="1:12" ht="18.75" x14ac:dyDescent="0.3">
      <c r="A20" s="5"/>
      <c r="B20" s="5" t="s">
        <v>6</v>
      </c>
      <c r="C20" s="10">
        <v>140</v>
      </c>
      <c r="D20" s="10">
        <v>111</v>
      </c>
      <c r="E20" s="10">
        <v>105</v>
      </c>
      <c r="F20" s="10">
        <v>92</v>
      </c>
      <c r="G20" s="10">
        <v>93</v>
      </c>
      <c r="H20" s="10">
        <v>121</v>
      </c>
      <c r="I20" s="10">
        <v>119</v>
      </c>
      <c r="J20" s="10">
        <v>146</v>
      </c>
      <c r="K20" s="10">
        <v>183</v>
      </c>
      <c r="L20" s="10">
        <v>165</v>
      </c>
    </row>
    <row r="21" spans="1:12" ht="18.75" x14ac:dyDescent="0.3">
      <c r="A21" s="5"/>
      <c r="B21" s="5" t="s">
        <v>7</v>
      </c>
      <c r="C21" s="10">
        <v>185</v>
      </c>
      <c r="D21" s="10">
        <v>134</v>
      </c>
      <c r="E21" s="10">
        <v>155</v>
      </c>
      <c r="F21" s="10">
        <v>148</v>
      </c>
      <c r="G21" s="10">
        <v>226</v>
      </c>
      <c r="H21" s="10">
        <v>212</v>
      </c>
      <c r="I21" s="10">
        <v>293</v>
      </c>
      <c r="J21" s="10">
        <v>410</v>
      </c>
      <c r="K21" s="10">
        <v>425</v>
      </c>
      <c r="L21" s="10">
        <v>333</v>
      </c>
    </row>
    <row r="22" spans="1:12" ht="18.75" x14ac:dyDescent="0.3">
      <c r="A22" s="5"/>
      <c r="B22" s="5" t="s">
        <v>8</v>
      </c>
      <c r="C22" s="10">
        <v>123</v>
      </c>
      <c r="D22" s="10">
        <v>108</v>
      </c>
      <c r="E22" s="10">
        <v>106</v>
      </c>
      <c r="F22" s="10">
        <v>109</v>
      </c>
      <c r="G22" s="10">
        <v>150</v>
      </c>
      <c r="H22" s="10">
        <v>116</v>
      </c>
      <c r="I22" s="10">
        <v>173</v>
      </c>
      <c r="J22" s="10">
        <v>146</v>
      </c>
      <c r="K22" s="10">
        <v>108</v>
      </c>
      <c r="L22" s="10">
        <v>93</v>
      </c>
    </row>
    <row r="23" spans="1:12" ht="18.75" x14ac:dyDescent="0.3">
      <c r="A23" s="5"/>
      <c r="B23" s="5" t="s">
        <v>9</v>
      </c>
      <c r="C23" s="10">
        <v>55</v>
      </c>
      <c r="D23" s="10">
        <v>78</v>
      </c>
      <c r="E23" s="10">
        <v>30</v>
      </c>
      <c r="F23" s="10">
        <v>80</v>
      </c>
      <c r="G23" s="10">
        <v>90</v>
      </c>
      <c r="H23" s="10">
        <v>71</v>
      </c>
      <c r="I23" s="10">
        <v>27</v>
      </c>
      <c r="J23" s="10">
        <v>37</v>
      </c>
      <c r="K23" s="10">
        <v>27</v>
      </c>
      <c r="L23" s="10">
        <v>22</v>
      </c>
    </row>
    <row r="24" spans="1:12" ht="18.75" x14ac:dyDescent="0.3">
      <c r="A24" s="5"/>
      <c r="B24" s="5" t="s">
        <v>10</v>
      </c>
      <c r="C24" s="10">
        <v>45</v>
      </c>
      <c r="D24" s="10">
        <v>75</v>
      </c>
      <c r="E24" s="10">
        <v>80</v>
      </c>
      <c r="F24" s="10">
        <v>58</v>
      </c>
      <c r="G24" s="10">
        <v>69</v>
      </c>
      <c r="H24" s="10">
        <v>27</v>
      </c>
      <c r="I24" s="10">
        <v>53</v>
      </c>
      <c r="J24" s="10">
        <v>72</v>
      </c>
      <c r="K24" s="10">
        <v>81</v>
      </c>
      <c r="L24" s="10">
        <v>72</v>
      </c>
    </row>
    <row r="25" spans="1:12" ht="18.75" x14ac:dyDescent="0.3">
      <c r="A25" s="5"/>
      <c r="B25" s="5" t="s">
        <v>11</v>
      </c>
      <c r="C25" s="10">
        <v>36</v>
      </c>
      <c r="D25" s="10">
        <v>24</v>
      </c>
      <c r="E25" s="10">
        <v>13</v>
      </c>
      <c r="F25" s="10">
        <v>20</v>
      </c>
      <c r="G25" s="10">
        <v>36</v>
      </c>
      <c r="H25" s="10">
        <v>21</v>
      </c>
      <c r="I25" s="10">
        <v>24</v>
      </c>
      <c r="J25" s="10">
        <v>36</v>
      </c>
      <c r="K25" s="10">
        <v>25</v>
      </c>
      <c r="L25" s="10">
        <v>20</v>
      </c>
    </row>
    <row r="26" spans="1:12" ht="18.75" x14ac:dyDescent="0.3">
      <c r="A26" s="5"/>
      <c r="B26" s="5" t="s">
        <v>12</v>
      </c>
      <c r="C26" s="10">
        <v>292</v>
      </c>
      <c r="D26" s="10">
        <v>298</v>
      </c>
      <c r="E26" s="10">
        <v>312</v>
      </c>
      <c r="F26" s="10">
        <v>229</v>
      </c>
      <c r="G26" s="10">
        <v>256</v>
      </c>
      <c r="H26" s="10">
        <v>216</v>
      </c>
      <c r="I26" s="10">
        <v>278</v>
      </c>
      <c r="J26" s="10">
        <v>246</v>
      </c>
      <c r="K26" s="10">
        <v>276</v>
      </c>
      <c r="L26" s="10">
        <v>222</v>
      </c>
    </row>
    <row r="27" spans="1:12" ht="18.75" x14ac:dyDescent="0.3">
      <c r="A27" s="5"/>
      <c r="B27" s="5" t="s">
        <v>13</v>
      </c>
      <c r="C27" s="10">
        <v>112</v>
      </c>
      <c r="D27" s="10">
        <v>73</v>
      </c>
      <c r="E27" s="10">
        <v>76</v>
      </c>
      <c r="F27" s="10">
        <v>53</v>
      </c>
      <c r="G27" s="10">
        <v>51</v>
      </c>
      <c r="H27" s="10">
        <v>29</v>
      </c>
      <c r="I27" s="10">
        <v>71</v>
      </c>
      <c r="J27" s="10">
        <v>71</v>
      </c>
      <c r="K27" s="10">
        <v>74</v>
      </c>
      <c r="L27" s="10">
        <v>32</v>
      </c>
    </row>
    <row r="28" spans="1:12" ht="18.75" x14ac:dyDescent="0.3">
      <c r="A28" s="5"/>
      <c r="B28" s="5" t="s">
        <v>14</v>
      </c>
      <c r="C28" s="10"/>
      <c r="D28" s="10">
        <v>9</v>
      </c>
      <c r="E28" s="10">
        <v>25</v>
      </c>
      <c r="F28" s="10">
        <v>46</v>
      </c>
      <c r="G28" s="10">
        <v>64</v>
      </c>
      <c r="H28" s="10">
        <v>66</v>
      </c>
      <c r="I28" s="10">
        <v>103</v>
      </c>
      <c r="J28" s="10">
        <v>132</v>
      </c>
      <c r="K28" s="10">
        <v>130</v>
      </c>
      <c r="L28" s="10">
        <v>74</v>
      </c>
    </row>
    <row r="29" spans="1:12" ht="18.75" x14ac:dyDescent="0.3">
      <c r="A29" s="5"/>
      <c r="B29" s="5" t="s">
        <v>15</v>
      </c>
      <c r="C29" s="10">
        <v>115</v>
      </c>
      <c r="D29" s="10">
        <v>99</v>
      </c>
      <c r="E29" s="10">
        <v>89</v>
      </c>
      <c r="F29" s="10">
        <v>73</v>
      </c>
      <c r="G29" s="10">
        <v>78</v>
      </c>
      <c r="H29" s="10">
        <v>98</v>
      </c>
      <c r="I29" s="10">
        <v>92</v>
      </c>
      <c r="J29" s="10">
        <v>114</v>
      </c>
      <c r="K29" s="10">
        <v>112</v>
      </c>
      <c r="L29" s="10">
        <v>94</v>
      </c>
    </row>
    <row r="30" spans="1:12" ht="18.75" x14ac:dyDescent="0.3">
      <c r="A30" s="5"/>
      <c r="B30" s="5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8.75" x14ac:dyDescent="0.3">
      <c r="A31" s="5"/>
      <c r="B31" s="6" t="s">
        <v>23</v>
      </c>
      <c r="C31" s="11">
        <f>SUM(C20:C30)</f>
        <v>1103</v>
      </c>
      <c r="D31" s="11">
        <f t="shared" ref="D31:L31" si="1">SUM(D20:D30)</f>
        <v>1009</v>
      </c>
      <c r="E31" s="11">
        <f t="shared" si="1"/>
        <v>991</v>
      </c>
      <c r="F31" s="11">
        <f t="shared" si="1"/>
        <v>908</v>
      </c>
      <c r="G31" s="11">
        <f t="shared" si="1"/>
        <v>1113</v>
      </c>
      <c r="H31" s="11">
        <f t="shared" si="1"/>
        <v>977</v>
      </c>
      <c r="I31" s="11">
        <f t="shared" si="1"/>
        <v>1233</v>
      </c>
      <c r="J31" s="11">
        <f t="shared" si="1"/>
        <v>1410</v>
      </c>
      <c r="K31" s="11">
        <f t="shared" si="1"/>
        <v>1441</v>
      </c>
      <c r="L31" s="11">
        <f t="shared" si="1"/>
        <v>1127</v>
      </c>
    </row>
    <row r="34" spans="2:5" ht="18.75" x14ac:dyDescent="0.3">
      <c r="B34" s="16"/>
      <c r="C34" s="21" t="s">
        <v>34</v>
      </c>
      <c r="D34" s="21"/>
      <c r="E34" s="21"/>
    </row>
    <row r="35" spans="2:5" ht="18.75" x14ac:dyDescent="0.3">
      <c r="B35" s="6"/>
      <c r="C35" s="22" t="s">
        <v>35</v>
      </c>
      <c r="D35" s="22"/>
      <c r="E35" s="22"/>
    </row>
    <row r="36" spans="2:5" ht="18.75" x14ac:dyDescent="0.3">
      <c r="B36" s="6" t="s">
        <v>36</v>
      </c>
      <c r="C36" s="6">
        <v>2021</v>
      </c>
      <c r="D36" s="6">
        <v>2022</v>
      </c>
      <c r="E36" s="6">
        <v>2023</v>
      </c>
    </row>
    <row r="37" spans="2:5" ht="18.75" x14ac:dyDescent="0.3">
      <c r="B37" s="5" t="s">
        <v>37</v>
      </c>
      <c r="C37" s="5">
        <v>28</v>
      </c>
      <c r="D37" s="5">
        <v>26</v>
      </c>
      <c r="E37" s="5">
        <v>18</v>
      </c>
    </row>
    <row r="38" spans="2:5" ht="18.75" x14ac:dyDescent="0.3">
      <c r="B38" s="5" t="s">
        <v>38</v>
      </c>
      <c r="C38" s="5">
        <v>12</v>
      </c>
      <c r="D38" s="5">
        <v>9</v>
      </c>
      <c r="E38" s="5">
        <v>10</v>
      </c>
    </row>
    <row r="39" spans="2:5" ht="18.75" x14ac:dyDescent="0.3">
      <c r="B39" s="5" t="s">
        <v>39</v>
      </c>
      <c r="C39" s="5">
        <v>28</v>
      </c>
      <c r="D39" s="5">
        <v>38</v>
      </c>
      <c r="E39" s="5">
        <v>50</v>
      </c>
    </row>
    <row r="40" spans="2:5" ht="18.75" x14ac:dyDescent="0.3">
      <c r="B40" s="5" t="s">
        <v>40</v>
      </c>
      <c r="C40" s="5">
        <v>14</v>
      </c>
      <c r="D40" s="5">
        <v>13</v>
      </c>
      <c r="E40" s="5">
        <v>23</v>
      </c>
    </row>
    <row r="41" spans="2:5" ht="18.75" x14ac:dyDescent="0.3">
      <c r="B41" s="5" t="s">
        <v>41</v>
      </c>
      <c r="C41" s="5">
        <v>18</v>
      </c>
      <c r="D41" s="5">
        <v>16</v>
      </c>
      <c r="E41" s="5">
        <v>23</v>
      </c>
    </row>
    <row r="42" spans="2:5" ht="18.75" x14ac:dyDescent="0.3">
      <c r="B42" s="5" t="s">
        <v>42</v>
      </c>
      <c r="C42" s="5">
        <v>20</v>
      </c>
      <c r="D42" s="5">
        <v>7</v>
      </c>
      <c r="E42" s="5">
        <v>17</v>
      </c>
    </row>
    <row r="43" spans="2:5" ht="18.75" x14ac:dyDescent="0.3">
      <c r="B43" s="5" t="s">
        <v>43</v>
      </c>
      <c r="C43" s="5">
        <v>20</v>
      </c>
      <c r="D43" s="5">
        <v>14</v>
      </c>
      <c r="E43" s="5">
        <v>37</v>
      </c>
    </row>
    <row r="44" spans="2:5" ht="18.75" x14ac:dyDescent="0.3">
      <c r="B44" s="5" t="s">
        <v>44</v>
      </c>
      <c r="C44" s="5">
        <v>18</v>
      </c>
      <c r="D44" s="5">
        <v>10</v>
      </c>
      <c r="E44" s="5">
        <v>5</v>
      </c>
    </row>
    <row r="45" spans="2:5" ht="18.75" x14ac:dyDescent="0.3">
      <c r="B45" s="5" t="s">
        <v>45</v>
      </c>
      <c r="C45" s="5">
        <v>2</v>
      </c>
      <c r="D45" s="5">
        <v>2</v>
      </c>
      <c r="E45" s="5">
        <v>1</v>
      </c>
    </row>
    <row r="46" spans="2:5" ht="18.75" x14ac:dyDescent="0.3">
      <c r="B46" s="5" t="s">
        <v>46</v>
      </c>
      <c r="C46" s="17"/>
      <c r="D46" s="17"/>
      <c r="E46" s="5">
        <v>11</v>
      </c>
    </row>
    <row r="47" spans="2:5" ht="18.75" x14ac:dyDescent="0.3">
      <c r="B47" s="5" t="s">
        <v>47</v>
      </c>
      <c r="C47" s="17"/>
      <c r="D47" s="17"/>
      <c r="E47" s="5">
        <v>54</v>
      </c>
    </row>
    <row r="48" spans="2:5" s="19" customFormat="1" ht="18.75" x14ac:dyDescent="0.3">
      <c r="B48" s="6" t="s">
        <v>23</v>
      </c>
      <c r="C48" s="18">
        <f>SUM(C37:C47)</f>
        <v>160</v>
      </c>
      <c r="D48" s="18">
        <f t="shared" ref="D48:E48" si="2">SUM(D37:D47)</f>
        <v>135</v>
      </c>
      <c r="E48" s="18">
        <f t="shared" si="2"/>
        <v>249</v>
      </c>
    </row>
    <row r="49" spans="2:5" ht="18.75" x14ac:dyDescent="0.3">
      <c r="B49" s="5"/>
      <c r="C49" s="17"/>
      <c r="D49" s="17"/>
      <c r="E49" s="5"/>
    </row>
    <row r="50" spans="2:5" ht="18.75" x14ac:dyDescent="0.3">
      <c r="B50" s="17"/>
      <c r="C50" s="17"/>
      <c r="D50" s="17"/>
      <c r="E50" s="17"/>
    </row>
    <row r="51" spans="2:5" ht="18.75" x14ac:dyDescent="0.3">
      <c r="B51" s="6" t="s">
        <v>48</v>
      </c>
      <c r="C51" s="6">
        <v>2021</v>
      </c>
      <c r="D51" s="6">
        <v>2022</v>
      </c>
      <c r="E51" s="6">
        <v>2023</v>
      </c>
    </row>
    <row r="52" spans="2:5" ht="18.75" x14ac:dyDescent="0.3">
      <c r="B52" s="17" t="s">
        <v>49</v>
      </c>
      <c r="C52" s="17">
        <v>38</v>
      </c>
      <c r="D52" s="17">
        <v>62</v>
      </c>
      <c r="E52" s="17">
        <v>59</v>
      </c>
    </row>
    <row r="53" spans="2:5" ht="18.75" x14ac:dyDescent="0.3">
      <c r="B53" s="17" t="s">
        <v>50</v>
      </c>
      <c r="C53" s="17">
        <v>61</v>
      </c>
      <c r="D53" s="17">
        <v>76</v>
      </c>
      <c r="E53" s="17">
        <v>73</v>
      </c>
    </row>
    <row r="54" spans="2:5" ht="18.75" x14ac:dyDescent="0.3">
      <c r="B54" s="17" t="s">
        <v>51</v>
      </c>
      <c r="C54" s="17"/>
      <c r="D54" s="17"/>
      <c r="E54" s="17">
        <v>7</v>
      </c>
    </row>
    <row r="55" spans="2:5" s="19" customFormat="1" ht="18.75" x14ac:dyDescent="0.3">
      <c r="B55" s="18" t="s">
        <v>23</v>
      </c>
      <c r="C55" s="18">
        <f>SUM(C52:C54)</f>
        <v>99</v>
      </c>
      <c r="D55" s="18">
        <f t="shared" ref="D55:E55" si="3">SUM(D52:D54)</f>
        <v>138</v>
      </c>
      <c r="E55" s="18">
        <f t="shared" si="3"/>
        <v>139</v>
      </c>
    </row>
  </sheetData>
  <mergeCells count="4">
    <mergeCell ref="B1:L1"/>
    <mergeCell ref="B18:L18"/>
    <mergeCell ref="C34:E34"/>
    <mergeCell ref="C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M9" sqref="M9"/>
    </sheetView>
  </sheetViews>
  <sheetFormatPr defaultRowHeight="15" x14ac:dyDescent="0.25"/>
  <cols>
    <col min="3" max="3" width="15.42578125" customWidth="1"/>
    <col min="4" max="4" width="29.140625" customWidth="1"/>
    <col min="5" max="5" width="29.28515625" customWidth="1"/>
  </cols>
  <sheetData>
    <row r="1" spans="1:5" x14ac:dyDescent="0.25">
      <c r="A1" s="23" t="s">
        <v>28</v>
      </c>
      <c r="B1" s="23"/>
      <c r="C1" s="23"/>
      <c r="D1" s="23"/>
      <c r="E1" s="23"/>
    </row>
    <row r="2" spans="1:5" x14ac:dyDescent="0.25">
      <c r="A2" t="s">
        <v>0</v>
      </c>
      <c r="B2" t="s">
        <v>23</v>
      </c>
      <c r="C2" t="s">
        <v>25</v>
      </c>
      <c r="D2" t="s">
        <v>26</v>
      </c>
      <c r="E2" t="s">
        <v>27</v>
      </c>
    </row>
    <row r="3" spans="1:5" x14ac:dyDescent="0.25">
      <c r="A3" s="14">
        <v>2014</v>
      </c>
      <c r="B3" s="14">
        <v>3230</v>
      </c>
    </row>
    <row r="4" spans="1:5" x14ac:dyDescent="0.25">
      <c r="A4" s="14">
        <v>2015</v>
      </c>
      <c r="B4" s="14">
        <v>3357</v>
      </c>
    </row>
    <row r="5" spans="1:5" x14ac:dyDescent="0.25">
      <c r="A5" s="14">
        <v>2016</v>
      </c>
      <c r="B5" s="14">
        <v>2738</v>
      </c>
    </row>
    <row r="6" spans="1:5" x14ac:dyDescent="0.25">
      <c r="A6" s="14">
        <v>2017</v>
      </c>
      <c r="B6" s="14">
        <v>2647</v>
      </c>
    </row>
    <row r="7" spans="1:5" x14ac:dyDescent="0.25">
      <c r="A7" s="14">
        <v>2018</v>
      </c>
      <c r="B7" s="14">
        <v>2728</v>
      </c>
    </row>
    <row r="8" spans="1:5" x14ac:dyDescent="0.25">
      <c r="A8" s="14">
        <v>2019</v>
      </c>
      <c r="B8" s="14">
        <v>2827</v>
      </c>
    </row>
    <row r="9" spans="1:5" x14ac:dyDescent="0.25">
      <c r="A9" s="14">
        <v>2020</v>
      </c>
      <c r="B9" s="14">
        <v>3299</v>
      </c>
    </row>
    <row r="10" spans="1:5" x14ac:dyDescent="0.25">
      <c r="A10" s="14">
        <v>2021</v>
      </c>
      <c r="B10" s="14">
        <v>3619</v>
      </c>
    </row>
    <row r="11" spans="1:5" x14ac:dyDescent="0.25">
      <c r="A11" s="14">
        <v>2022</v>
      </c>
      <c r="B11" s="14">
        <v>4014</v>
      </c>
    </row>
    <row r="12" spans="1:5" x14ac:dyDescent="0.25">
      <c r="A12" s="14">
        <v>2023</v>
      </c>
      <c r="B12" s="14">
        <v>3841</v>
      </c>
      <c r="C12" s="14">
        <v>3841</v>
      </c>
      <c r="D12" s="15">
        <v>3841</v>
      </c>
      <c r="E12" s="15">
        <v>3841</v>
      </c>
    </row>
    <row r="13" spans="1:5" x14ac:dyDescent="0.25">
      <c r="A13" s="14">
        <v>2024</v>
      </c>
      <c r="C13" s="14">
        <f t="shared" ref="C13:C22" si="0">_xlfn.FORECAST.ETS(A13,$B$3:$B$12,$A$3:$A$12,3,1)</f>
        <v>3967.8557932614199</v>
      </c>
      <c r="D13" s="15">
        <f t="shared" ref="D13:D22" si="1">C13-_xlfn.FORECAST.ETS.CONFINT(A13,$B$3:$B$12,$A$3:$A$12,0.95,3,1)</f>
        <v>3283.5503435466399</v>
      </c>
      <c r="E13" s="15">
        <f t="shared" ref="E13:E22" si="2">C13+_xlfn.FORECAST.ETS.CONFINT(A13,$B$3:$B$12,$A$3:$A$12,0.95,3,1)</f>
        <v>4652.1612429761999</v>
      </c>
    </row>
    <row r="14" spans="1:5" x14ac:dyDescent="0.25">
      <c r="A14" s="14">
        <v>2025</v>
      </c>
      <c r="C14" s="14">
        <f t="shared" si="0"/>
        <v>3974.1112274392376</v>
      </c>
      <c r="D14" s="15">
        <f t="shared" si="1"/>
        <v>3006.8409356409084</v>
      </c>
      <c r="E14" s="15">
        <f t="shared" si="2"/>
        <v>4941.3815192375669</v>
      </c>
    </row>
    <row r="15" spans="1:5" x14ac:dyDescent="0.25">
      <c r="A15" s="14">
        <v>2026</v>
      </c>
      <c r="C15" s="14">
        <f t="shared" si="0"/>
        <v>4222.9272727272728</v>
      </c>
      <c r="D15" s="15">
        <f t="shared" si="1"/>
        <v>3038.0704181220544</v>
      </c>
      <c r="E15" s="15">
        <f t="shared" si="2"/>
        <v>5407.7841273324912</v>
      </c>
    </row>
    <row r="16" spans="1:5" x14ac:dyDescent="0.25">
      <c r="A16" s="14">
        <v>2027</v>
      </c>
      <c r="C16" s="14">
        <f t="shared" si="0"/>
        <v>4349.7830659886922</v>
      </c>
      <c r="D16" s="15">
        <f t="shared" si="1"/>
        <v>2980.8292014248964</v>
      </c>
      <c r="E16" s="15">
        <f t="shared" si="2"/>
        <v>5718.736930552488</v>
      </c>
    </row>
    <row r="17" spans="1:5" x14ac:dyDescent="0.25">
      <c r="A17" s="14">
        <v>2028</v>
      </c>
      <c r="C17" s="14">
        <f t="shared" si="0"/>
        <v>4356.0385001665109</v>
      </c>
      <c r="D17" s="15">
        <f t="shared" si="1"/>
        <v>2824.9658040794407</v>
      </c>
      <c r="E17" s="15">
        <f t="shared" si="2"/>
        <v>5887.1111962535815</v>
      </c>
    </row>
    <row r="18" spans="1:5" x14ac:dyDescent="0.25">
      <c r="A18" s="14">
        <v>2029</v>
      </c>
      <c r="C18" s="14">
        <f t="shared" si="0"/>
        <v>4604.8545454545456</v>
      </c>
      <c r="D18" s="15">
        <f t="shared" si="1"/>
        <v>2926.9774917437353</v>
      </c>
      <c r="E18" s="15">
        <f t="shared" si="2"/>
        <v>6282.7315991653559</v>
      </c>
    </row>
    <row r="19" spans="1:5" x14ac:dyDescent="0.25">
      <c r="A19" s="14">
        <v>2030</v>
      </c>
      <c r="C19" s="14">
        <f t="shared" si="0"/>
        <v>4731.710338715965</v>
      </c>
      <c r="D19" s="15">
        <f t="shared" si="1"/>
        <v>2918.3599031375511</v>
      </c>
      <c r="E19" s="15">
        <f t="shared" si="2"/>
        <v>6545.0607742943794</v>
      </c>
    </row>
    <row r="20" spans="1:5" x14ac:dyDescent="0.25">
      <c r="A20" s="14">
        <v>2031</v>
      </c>
      <c r="C20" s="14">
        <f t="shared" si="0"/>
        <v>4737.9657728937837</v>
      </c>
      <c r="D20" s="15">
        <f t="shared" si="1"/>
        <v>2798.5823149217467</v>
      </c>
      <c r="E20" s="15">
        <f t="shared" si="2"/>
        <v>6677.3492308658206</v>
      </c>
    </row>
    <row r="21" spans="1:5" x14ac:dyDescent="0.25">
      <c r="A21" s="14">
        <v>2032</v>
      </c>
      <c r="C21" s="14">
        <f t="shared" si="0"/>
        <v>4986.7818181818184</v>
      </c>
      <c r="D21" s="15">
        <f t="shared" si="1"/>
        <v>2928.8415151581416</v>
      </c>
      <c r="E21" s="15">
        <f t="shared" si="2"/>
        <v>7044.7221212054956</v>
      </c>
    </row>
    <row r="22" spans="1:5" x14ac:dyDescent="0.25">
      <c r="A22" s="14">
        <v>2033</v>
      </c>
      <c r="C22" s="14">
        <f t="shared" si="0"/>
        <v>5113.6376114432378</v>
      </c>
      <c r="D22" s="15">
        <f t="shared" si="1"/>
        <v>2943.1734693696158</v>
      </c>
      <c r="E22" s="15">
        <f t="shared" si="2"/>
        <v>7284.1017535168594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5" sqref="C15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29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4">
        <v>2021</v>
      </c>
      <c r="B3" s="14">
        <v>259</v>
      </c>
    </row>
    <row r="4" spans="1:5" x14ac:dyDescent="0.25">
      <c r="A4" s="14">
        <v>2022</v>
      </c>
      <c r="B4" s="14">
        <v>273</v>
      </c>
    </row>
    <row r="5" spans="1:5" x14ac:dyDescent="0.25">
      <c r="A5" s="14">
        <v>2023</v>
      </c>
      <c r="B5" s="14">
        <v>381</v>
      </c>
      <c r="C5" s="14">
        <v>381</v>
      </c>
      <c r="D5" s="15">
        <v>381</v>
      </c>
      <c r="E5" s="15">
        <v>381</v>
      </c>
    </row>
    <row r="6" spans="1:5" x14ac:dyDescent="0.25">
      <c r="A6" s="14">
        <v>2024</v>
      </c>
      <c r="C6" s="14">
        <f>_xlfn.FORECAST.ETS(A6,$B$3:$B$5,$A$3:$A$5,1,1)</f>
        <v>429.85524700000002</v>
      </c>
      <c r="D6" s="15">
        <f>C6-_xlfn.FORECAST.ETS.CONFINT(A6,$B$3:$B$5,$A$3:$A$5,0.95,1,1)</f>
        <v>375.62786151665341</v>
      </c>
      <c r="E6" s="15">
        <f>C6+_xlfn.FORECAST.ETS.CONFINT(A6,$B$3:$B$5,$A$3:$A$5,0.95,1,1)</f>
        <v>484.08263248334663</v>
      </c>
    </row>
    <row r="7" spans="1:5" x14ac:dyDescent="0.25">
      <c r="A7" s="14">
        <v>2025</v>
      </c>
      <c r="C7" s="14">
        <f>_xlfn.FORECAST.ETS(A7,$B$3:$B$5,$A$3:$A$5,1,1)</f>
        <v>487.12819400000001</v>
      </c>
      <c r="D7" s="15">
        <f>C7-_xlfn.FORECAST.ETS.CONFINT(A7,$B$3:$B$5,$A$3:$A$5,0.95,1,1)</f>
        <v>431.83750394562787</v>
      </c>
      <c r="E7" s="15">
        <f>C7+_xlfn.FORECAST.ETS.CONFINT(A7,$B$3:$B$5,$A$3:$A$5,0.95,1,1)</f>
        <v>542.41888405437214</v>
      </c>
    </row>
    <row r="8" spans="1:5" x14ac:dyDescent="0.25">
      <c r="A8" s="14">
        <v>2026</v>
      </c>
      <c r="C8" s="14">
        <f>_xlfn.FORECAST.ETS(A8,$B$3:$B$5,$A$3:$A$5,1,1)</f>
        <v>544.40114100000005</v>
      </c>
      <c r="D8" s="15">
        <f>C8-_xlfn.FORECAST.ETS.CONFINT(A8,$B$3:$B$5,$A$3:$A$5,0.95,1,1)</f>
        <v>486.79733662741791</v>
      </c>
      <c r="E8" s="15">
        <f>C8+_xlfn.FORECAST.ETS.CONFINT(A8,$B$3:$B$5,$A$3:$A$5,0.95,1,1)</f>
        <v>602.00494537258214</v>
      </c>
    </row>
    <row r="9" spans="1:5" x14ac:dyDescent="0.25">
      <c r="A9" s="14">
        <v>2027</v>
      </c>
      <c r="C9" s="14">
        <f>_xlfn.FORECAST.ETS(A9,$B$3:$B$5,$A$3:$A$5,1,1)</f>
        <v>601.67408799999998</v>
      </c>
      <c r="D9" s="15">
        <f>C9-_xlfn.FORECAST.ETS.CONFINT(A9,$B$3:$B$5,$A$3:$A$5,0.95,1,1)</f>
        <v>540.17884611016757</v>
      </c>
      <c r="E9" s="15">
        <f>C9+_xlfn.FORECAST.ETS.CONFINT(A9,$B$3:$B$5,$A$3:$A$5,0.95,1,1)</f>
        <v>663.1693298898324</v>
      </c>
    </row>
    <row r="10" spans="1:5" x14ac:dyDescent="0.25">
      <c r="A10" s="14">
        <v>2028</v>
      </c>
      <c r="C10" s="14">
        <f>_xlfn.FORECAST.ETS(A10,$B$3:$B$5,$A$3:$A$5,1,1)</f>
        <v>658.94703500000003</v>
      </c>
      <c r="D10" s="15">
        <f>C10-_xlfn.FORECAST.ETS.CONFINT(A10,$B$3:$B$5,$A$3:$A$5,0.95,1,1)</f>
        <v>591.82698045902987</v>
      </c>
      <c r="E10" s="15">
        <f>C10+_xlfn.FORECAST.ETS.CONFINT(A10,$B$3:$B$5,$A$3:$A$5,0.95,1,1)</f>
        <v>726.06708954097019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L14" sqref="L14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16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457</v>
      </c>
    </row>
    <row r="4" spans="1:5" x14ac:dyDescent="0.25">
      <c r="A4" s="1">
        <v>2015</v>
      </c>
      <c r="B4" s="1">
        <v>423</v>
      </c>
    </row>
    <row r="5" spans="1:5" x14ac:dyDescent="0.25">
      <c r="A5" s="1">
        <v>2016</v>
      </c>
      <c r="B5" s="1">
        <v>311</v>
      </c>
    </row>
    <row r="6" spans="1:5" x14ac:dyDescent="0.25">
      <c r="A6" s="1">
        <v>2017</v>
      </c>
      <c r="B6" s="1">
        <v>276</v>
      </c>
    </row>
    <row r="7" spans="1:5" x14ac:dyDescent="0.25">
      <c r="A7" s="1">
        <v>2018</v>
      </c>
      <c r="B7" s="1">
        <v>267</v>
      </c>
    </row>
    <row r="8" spans="1:5" x14ac:dyDescent="0.25">
      <c r="A8" s="1">
        <v>2019</v>
      </c>
      <c r="B8" s="1">
        <v>301</v>
      </c>
    </row>
    <row r="9" spans="1:5" x14ac:dyDescent="0.25">
      <c r="A9" s="1">
        <v>2020</v>
      </c>
      <c r="B9" s="1">
        <v>339</v>
      </c>
    </row>
    <row r="10" spans="1:5" x14ac:dyDescent="0.25">
      <c r="A10" s="1">
        <v>2021</v>
      </c>
      <c r="B10" s="1">
        <v>395</v>
      </c>
    </row>
    <row r="11" spans="1:5" x14ac:dyDescent="0.25">
      <c r="A11" s="1">
        <v>2022</v>
      </c>
      <c r="B11" s="1">
        <v>473</v>
      </c>
    </row>
    <row r="12" spans="1:5" x14ac:dyDescent="0.25">
      <c r="A12" s="1">
        <v>2023</v>
      </c>
      <c r="B12" s="1">
        <v>492</v>
      </c>
      <c r="C12" s="12">
        <v>492</v>
      </c>
      <c r="D12" s="2">
        <v>492</v>
      </c>
      <c r="E12" s="2">
        <v>492</v>
      </c>
    </row>
    <row r="13" spans="1:5" x14ac:dyDescent="0.25">
      <c r="A13" s="1">
        <v>2024</v>
      </c>
      <c r="C13" s="12">
        <f t="shared" ref="C13:C22" si="0">_xlfn.FORECAST.ETS(A13,$B$3:$B$12,$A$3:$A$12,4,1)</f>
        <v>491.05156829540482</v>
      </c>
      <c r="D13" s="2">
        <f t="shared" ref="D13:D22" si="1">C13-_xlfn.FORECAST.ETS.CONFINT(A13,$B$3:$B$12,$A$3:$A$12,0.95,4,1)</f>
        <v>345.44575267877104</v>
      </c>
      <c r="E13" s="2">
        <f t="shared" ref="E13:E22" si="2">C13+_xlfn.FORECAST.ETS.CONFINT(A13,$B$3:$B$12,$A$3:$A$12,0.95,4,1)</f>
        <v>636.65738391203854</v>
      </c>
    </row>
    <row r="14" spans="1:5" x14ac:dyDescent="0.25">
      <c r="A14" s="1">
        <v>2025</v>
      </c>
      <c r="C14" s="12">
        <f t="shared" si="0"/>
        <v>497.47158272525513</v>
      </c>
      <c r="D14" s="2">
        <f t="shared" si="1"/>
        <v>315.37691245789142</v>
      </c>
      <c r="E14" s="2">
        <f t="shared" si="2"/>
        <v>679.56625299261884</v>
      </c>
    </row>
    <row r="15" spans="1:5" x14ac:dyDescent="0.25">
      <c r="A15" s="1">
        <v>2026</v>
      </c>
      <c r="C15" s="12">
        <f t="shared" si="0"/>
        <v>506.13514181466542</v>
      </c>
      <c r="D15" s="2">
        <f t="shared" si="1"/>
        <v>293.65514388157203</v>
      </c>
      <c r="E15" s="2">
        <f t="shared" si="2"/>
        <v>718.6151397477588</v>
      </c>
    </row>
    <row r="16" spans="1:5" x14ac:dyDescent="0.25">
      <c r="A16" s="1">
        <v>2027</v>
      </c>
      <c r="C16" s="12">
        <f t="shared" si="0"/>
        <v>545.37339285104349</v>
      </c>
      <c r="D16" s="2">
        <f t="shared" si="1"/>
        <v>306.27312583091941</v>
      </c>
      <c r="E16" s="2">
        <f t="shared" si="2"/>
        <v>784.47365987116757</v>
      </c>
    </row>
    <row r="17" spans="1:5" x14ac:dyDescent="0.25">
      <c r="A17" s="1">
        <v>2028</v>
      </c>
      <c r="C17" s="12">
        <f t="shared" si="0"/>
        <v>544.39810014658724</v>
      </c>
      <c r="D17" s="2">
        <f t="shared" si="1"/>
        <v>264.22424633219225</v>
      </c>
      <c r="E17" s="2">
        <f t="shared" si="2"/>
        <v>824.57195396098223</v>
      </c>
    </row>
    <row r="18" spans="1:5" x14ac:dyDescent="0.25">
      <c r="A18" s="1">
        <v>2029</v>
      </c>
      <c r="C18" s="12">
        <f t="shared" si="0"/>
        <v>550.81811457643744</v>
      </c>
      <c r="D18" s="2">
        <f t="shared" si="1"/>
        <v>249.8488156336083</v>
      </c>
      <c r="E18" s="2">
        <f t="shared" si="2"/>
        <v>851.78741351926658</v>
      </c>
    </row>
    <row r="19" spans="1:5" x14ac:dyDescent="0.25">
      <c r="A19" s="1">
        <v>2030</v>
      </c>
      <c r="C19" s="12">
        <f t="shared" si="0"/>
        <v>559.48167366584767</v>
      </c>
      <c r="D19" s="2">
        <f t="shared" si="1"/>
        <v>239.01375913622252</v>
      </c>
      <c r="E19" s="2">
        <f t="shared" si="2"/>
        <v>879.94958819547287</v>
      </c>
    </row>
    <row r="20" spans="1:5" x14ac:dyDescent="0.25">
      <c r="A20" s="1">
        <v>2031</v>
      </c>
      <c r="C20" s="12">
        <f t="shared" si="0"/>
        <v>598.71992470222585</v>
      </c>
      <c r="D20" s="2">
        <f t="shared" si="1"/>
        <v>259.82624406801227</v>
      </c>
      <c r="E20" s="2">
        <f t="shared" si="2"/>
        <v>937.61360533643938</v>
      </c>
    </row>
    <row r="21" spans="1:5" x14ac:dyDescent="0.25">
      <c r="A21" s="1">
        <v>2032</v>
      </c>
      <c r="C21" s="12">
        <f t="shared" si="0"/>
        <v>597.74463199776949</v>
      </c>
      <c r="D21" s="2">
        <f t="shared" si="1"/>
        <v>228.49155629440799</v>
      </c>
      <c r="E21" s="2">
        <f t="shared" si="2"/>
        <v>966.99770770113105</v>
      </c>
    </row>
    <row r="22" spans="1:5" x14ac:dyDescent="0.25">
      <c r="A22" s="1">
        <v>2033</v>
      </c>
      <c r="C22" s="12">
        <f t="shared" si="0"/>
        <v>604.1646464276198</v>
      </c>
      <c r="D22" s="2">
        <f t="shared" si="1"/>
        <v>218.72806533863292</v>
      </c>
      <c r="E22" s="2">
        <f t="shared" si="2"/>
        <v>989.60122751660674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G3" sqref="G3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33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794</v>
      </c>
    </row>
    <row r="4" spans="1:5" x14ac:dyDescent="0.25">
      <c r="A4" s="1">
        <v>2015</v>
      </c>
      <c r="B4" s="1">
        <v>631</v>
      </c>
    </row>
    <row r="5" spans="1:5" x14ac:dyDescent="0.25">
      <c r="A5" s="1">
        <v>2016</v>
      </c>
      <c r="B5" s="1">
        <v>479</v>
      </c>
    </row>
    <row r="6" spans="1:5" x14ac:dyDescent="0.25">
      <c r="A6" s="1">
        <v>2017</v>
      </c>
      <c r="B6" s="1">
        <v>387</v>
      </c>
    </row>
    <row r="7" spans="1:5" x14ac:dyDescent="0.25">
      <c r="A7" s="1">
        <v>2018</v>
      </c>
      <c r="B7" s="1">
        <v>463</v>
      </c>
    </row>
    <row r="8" spans="1:5" x14ac:dyDescent="0.25">
      <c r="A8" s="1">
        <v>2019</v>
      </c>
      <c r="B8" s="1">
        <v>490</v>
      </c>
    </row>
    <row r="9" spans="1:5" x14ac:dyDescent="0.25">
      <c r="A9" s="1">
        <v>2020</v>
      </c>
      <c r="B9" s="1">
        <v>637</v>
      </c>
    </row>
    <row r="10" spans="1:5" x14ac:dyDescent="0.25">
      <c r="A10" s="1">
        <v>2021</v>
      </c>
      <c r="B10" s="1">
        <v>840</v>
      </c>
    </row>
    <row r="11" spans="1:5" x14ac:dyDescent="0.25">
      <c r="A11" s="1">
        <v>2022</v>
      </c>
      <c r="B11" s="1">
        <v>990</v>
      </c>
    </row>
    <row r="12" spans="1:5" x14ac:dyDescent="0.25">
      <c r="A12" s="1">
        <v>2023</v>
      </c>
      <c r="B12" s="1">
        <v>988</v>
      </c>
      <c r="C12" s="1">
        <v>988</v>
      </c>
      <c r="D12" s="2">
        <v>988</v>
      </c>
      <c r="E12" s="2">
        <v>988</v>
      </c>
    </row>
    <row r="13" spans="1:5" x14ac:dyDescent="0.25">
      <c r="A13" s="1">
        <v>2024</v>
      </c>
      <c r="C13" s="12">
        <f t="shared" ref="C13:C22" si="0">_xlfn.FORECAST.ETS(A13,$B$3:$B$12,$A$3:$A$12,4,1)</f>
        <v>1067.1406138535765</v>
      </c>
      <c r="D13" s="2">
        <f t="shared" ref="D13:D22" si="1">C13-_xlfn.FORECAST.ETS.CONFINT(A13,$B$3:$B$12,$A$3:$A$12,0.95,4,1)</f>
        <v>740.32244624326563</v>
      </c>
      <c r="E13" s="2">
        <f t="shared" ref="E13:E22" si="2">C13+_xlfn.FORECAST.ETS.CONFINT(A13,$B$3:$B$12,$A$3:$A$12,0.95,4,1)</f>
        <v>1393.9587814638874</v>
      </c>
    </row>
    <row r="14" spans="1:5" x14ac:dyDescent="0.25">
      <c r="A14" s="1">
        <v>2025</v>
      </c>
      <c r="C14" s="12">
        <f t="shared" si="0"/>
        <v>1100.6837699030928</v>
      </c>
      <c r="D14" s="2">
        <f t="shared" si="1"/>
        <v>691.96488586433577</v>
      </c>
      <c r="E14" s="2">
        <f t="shared" si="2"/>
        <v>1509.4026539418496</v>
      </c>
    </row>
    <row r="15" spans="1:5" x14ac:dyDescent="0.25">
      <c r="A15" s="1">
        <v>2026</v>
      </c>
      <c r="C15" s="12">
        <f t="shared" si="0"/>
        <v>1172.5476196977663</v>
      </c>
      <c r="D15" s="2">
        <f t="shared" si="1"/>
        <v>695.62763347158943</v>
      </c>
      <c r="E15" s="2">
        <f t="shared" si="2"/>
        <v>1649.4676059239432</v>
      </c>
    </row>
    <row r="16" spans="1:5" x14ac:dyDescent="0.25">
      <c r="A16" s="1">
        <v>2027</v>
      </c>
      <c r="C16" s="12">
        <f t="shared" si="0"/>
        <v>1220.0551181355559</v>
      </c>
      <c r="D16" s="2">
        <f t="shared" si="1"/>
        <v>683.38485663724964</v>
      </c>
      <c r="E16" s="2">
        <f t="shared" si="2"/>
        <v>1756.7253796338621</v>
      </c>
    </row>
    <row r="17" spans="1:5" x14ac:dyDescent="0.25">
      <c r="A17" s="1">
        <v>2028</v>
      </c>
      <c r="C17" s="12">
        <f t="shared" si="0"/>
        <v>1299.1298611848572</v>
      </c>
      <c r="D17" s="2">
        <f t="shared" si="1"/>
        <v>670.26826573166477</v>
      </c>
      <c r="E17" s="2">
        <f t="shared" si="2"/>
        <v>1927.9914566380496</v>
      </c>
    </row>
    <row r="18" spans="1:5" x14ac:dyDescent="0.25">
      <c r="A18" s="1">
        <v>2029</v>
      </c>
      <c r="C18" s="12">
        <f t="shared" si="0"/>
        <v>1332.6730172343737</v>
      </c>
      <c r="D18" s="2">
        <f t="shared" si="1"/>
        <v>657.13520048649264</v>
      </c>
      <c r="E18" s="2">
        <f t="shared" si="2"/>
        <v>2008.2108339822548</v>
      </c>
    </row>
    <row r="19" spans="1:5" x14ac:dyDescent="0.25">
      <c r="A19" s="1">
        <v>2030</v>
      </c>
      <c r="C19" s="12">
        <f t="shared" si="0"/>
        <v>1404.5368670290472</v>
      </c>
      <c r="D19" s="2">
        <f t="shared" si="1"/>
        <v>685.23361556946008</v>
      </c>
      <c r="E19" s="2">
        <f t="shared" si="2"/>
        <v>2123.8401184886343</v>
      </c>
    </row>
    <row r="20" spans="1:5" x14ac:dyDescent="0.25">
      <c r="A20" s="1">
        <v>2031</v>
      </c>
      <c r="C20" s="12">
        <f t="shared" si="0"/>
        <v>1452.0443654668368</v>
      </c>
      <c r="D20" s="2">
        <f t="shared" si="1"/>
        <v>691.38373353713973</v>
      </c>
      <c r="E20" s="2">
        <f t="shared" si="2"/>
        <v>2212.7049973965341</v>
      </c>
    </row>
    <row r="21" spans="1:5" x14ac:dyDescent="0.25">
      <c r="A21" s="1">
        <v>2032</v>
      </c>
      <c r="C21" s="12">
        <f t="shared" si="0"/>
        <v>1531.1191085161379</v>
      </c>
      <c r="D21" s="2">
        <f t="shared" si="1"/>
        <v>702.31558116542203</v>
      </c>
      <c r="E21" s="2">
        <f t="shared" si="2"/>
        <v>2359.9226358668539</v>
      </c>
    </row>
    <row r="22" spans="1:5" x14ac:dyDescent="0.25">
      <c r="A22" s="1">
        <v>2033</v>
      </c>
      <c r="C22" s="12">
        <f t="shared" si="0"/>
        <v>1564.6622645656544</v>
      </c>
      <c r="D22" s="2">
        <f t="shared" si="1"/>
        <v>699.53420200841026</v>
      </c>
      <c r="E22" s="2">
        <f t="shared" si="2"/>
        <v>2429.7903271228984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3" sqref="C13:C22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17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295</v>
      </c>
    </row>
    <row r="4" spans="1:5" x14ac:dyDescent="0.25">
      <c r="A4" s="1">
        <v>2015</v>
      </c>
      <c r="B4" s="1">
        <v>327</v>
      </c>
    </row>
    <row r="5" spans="1:5" x14ac:dyDescent="0.25">
      <c r="A5" s="1">
        <v>2016</v>
      </c>
      <c r="B5" s="1">
        <v>318</v>
      </c>
    </row>
    <row r="6" spans="1:5" x14ac:dyDescent="0.25">
      <c r="A6" s="1">
        <v>2017</v>
      </c>
      <c r="B6" s="1">
        <v>324</v>
      </c>
    </row>
    <row r="7" spans="1:5" x14ac:dyDescent="0.25">
      <c r="A7" s="1">
        <v>2018</v>
      </c>
      <c r="B7" s="1">
        <v>365</v>
      </c>
    </row>
    <row r="8" spans="1:5" x14ac:dyDescent="0.25">
      <c r="A8" s="1">
        <v>2019</v>
      </c>
      <c r="B8" s="1">
        <v>374</v>
      </c>
    </row>
    <row r="9" spans="1:5" x14ac:dyDescent="0.25">
      <c r="A9" s="1">
        <v>2020</v>
      </c>
      <c r="B9" s="1">
        <v>472</v>
      </c>
    </row>
    <row r="10" spans="1:5" x14ac:dyDescent="0.25">
      <c r="A10" s="1">
        <v>2021</v>
      </c>
      <c r="B10" s="1">
        <v>486</v>
      </c>
    </row>
    <row r="11" spans="1:5" x14ac:dyDescent="0.25">
      <c r="A11" s="1">
        <v>2022</v>
      </c>
      <c r="B11" s="1">
        <v>453</v>
      </c>
    </row>
    <row r="12" spans="1:5" x14ac:dyDescent="0.25">
      <c r="A12" s="1">
        <v>2023</v>
      </c>
      <c r="B12" s="1">
        <v>414</v>
      </c>
      <c r="C12" s="1">
        <v>414</v>
      </c>
      <c r="D12" s="2">
        <v>414</v>
      </c>
      <c r="E12" s="2">
        <v>414</v>
      </c>
    </row>
    <row r="13" spans="1:5" x14ac:dyDescent="0.25">
      <c r="A13" s="1">
        <v>2024</v>
      </c>
      <c r="C13" s="12">
        <f t="shared" ref="C13:C22" si="0">_xlfn.FORECAST.ETS(A13,$B$3:$B$12,$A$3:$A$12,5,1)</f>
        <v>477.0970599185639</v>
      </c>
      <c r="D13" s="2">
        <f t="shared" ref="D13:D22" si="1">C13-_xlfn.FORECAST.ETS.CONFINT(A13,$B$3:$B$12,$A$3:$A$12,0.95,5,1)</f>
        <v>411.71443681557275</v>
      </c>
      <c r="E13" s="2">
        <f t="shared" ref="E13:E22" si="2">C13+_xlfn.FORECAST.ETS.CONFINT(A13,$B$3:$B$12,$A$3:$A$12,0.95,5,1)</f>
        <v>542.47968302155505</v>
      </c>
    </row>
    <row r="14" spans="1:5" x14ac:dyDescent="0.25">
      <c r="A14" s="1">
        <v>2025</v>
      </c>
      <c r="C14" s="12">
        <f t="shared" si="0"/>
        <v>558.77830241079891</v>
      </c>
      <c r="D14" s="2">
        <f t="shared" si="1"/>
        <v>491.35160255443287</v>
      </c>
      <c r="E14" s="2">
        <f t="shared" si="2"/>
        <v>626.2050022671649</v>
      </c>
    </row>
    <row r="15" spans="1:5" x14ac:dyDescent="0.25">
      <c r="A15" s="1">
        <v>2026</v>
      </c>
      <c r="C15" s="12">
        <f t="shared" si="0"/>
        <v>558.75631045683508</v>
      </c>
      <c r="D15" s="2">
        <f t="shared" si="1"/>
        <v>489.33015456907128</v>
      </c>
      <c r="E15" s="2">
        <f t="shared" si="2"/>
        <v>628.18246634459888</v>
      </c>
    </row>
    <row r="16" spans="1:5" x14ac:dyDescent="0.25">
      <c r="A16" s="1">
        <v>2027</v>
      </c>
      <c r="C16" s="12">
        <f t="shared" si="0"/>
        <v>546.02425857553192</v>
      </c>
      <c r="D16" s="2">
        <f t="shared" si="1"/>
        <v>474.63945797276051</v>
      </c>
      <c r="E16" s="2">
        <f t="shared" si="2"/>
        <v>617.40905917830332</v>
      </c>
    </row>
    <row r="17" spans="1:5" x14ac:dyDescent="0.25">
      <c r="A17" s="1">
        <v>2028</v>
      </c>
      <c r="C17" s="12">
        <f t="shared" si="0"/>
        <v>578.87901323289498</v>
      </c>
      <c r="D17" s="2">
        <f t="shared" si="1"/>
        <v>505.57304955645634</v>
      </c>
      <c r="E17" s="2">
        <f t="shared" si="2"/>
        <v>652.18497690933361</v>
      </c>
    </row>
    <row r="18" spans="1:5" x14ac:dyDescent="0.25">
      <c r="A18" s="1">
        <v>2029</v>
      </c>
      <c r="C18" s="12">
        <f t="shared" si="0"/>
        <v>587.16828462011313</v>
      </c>
      <c r="D18" s="2">
        <f t="shared" si="1"/>
        <v>511.96112838703408</v>
      </c>
      <c r="E18" s="2">
        <f t="shared" si="2"/>
        <v>662.37544085319223</v>
      </c>
    </row>
    <row r="19" spans="1:5" x14ac:dyDescent="0.25">
      <c r="A19" s="1">
        <v>2030</v>
      </c>
      <c r="C19" s="12">
        <f t="shared" si="0"/>
        <v>668.84952711234803</v>
      </c>
      <c r="D19" s="2">
        <f t="shared" si="1"/>
        <v>591.78806860809846</v>
      </c>
      <c r="E19" s="2">
        <f t="shared" si="2"/>
        <v>745.9109856165976</v>
      </c>
    </row>
    <row r="20" spans="1:5" x14ac:dyDescent="0.25">
      <c r="A20" s="1">
        <v>2031</v>
      </c>
      <c r="C20" s="12">
        <f t="shared" si="0"/>
        <v>668.82753515838419</v>
      </c>
      <c r="D20" s="2">
        <f t="shared" si="1"/>
        <v>589.941402080697</v>
      </c>
      <c r="E20" s="2">
        <f t="shared" si="2"/>
        <v>747.71366823607138</v>
      </c>
    </row>
    <row r="21" spans="1:5" x14ac:dyDescent="0.25">
      <c r="A21" s="1">
        <v>2032</v>
      </c>
      <c r="C21" s="12">
        <f t="shared" si="0"/>
        <v>656.09548327708103</v>
      </c>
      <c r="D21" s="2">
        <f t="shared" si="1"/>
        <v>575.41224019720266</v>
      </c>
      <c r="E21" s="2">
        <f t="shared" si="2"/>
        <v>736.7787263569594</v>
      </c>
    </row>
    <row r="22" spans="1:5" x14ac:dyDescent="0.25">
      <c r="A22" s="1">
        <v>2033</v>
      </c>
      <c r="C22" s="12">
        <f t="shared" si="0"/>
        <v>688.9502379344442</v>
      </c>
      <c r="D22" s="2">
        <f t="shared" si="1"/>
        <v>606.49559523686469</v>
      </c>
      <c r="E22" s="2">
        <f t="shared" si="2"/>
        <v>771.40488063202372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3" sqref="C13:C22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18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59</v>
      </c>
    </row>
    <row r="4" spans="1:5" x14ac:dyDescent="0.25">
      <c r="A4" s="1">
        <v>2015</v>
      </c>
      <c r="B4" s="1">
        <v>103</v>
      </c>
    </row>
    <row r="5" spans="1:5" x14ac:dyDescent="0.25">
      <c r="A5" s="1">
        <v>2016</v>
      </c>
      <c r="B5" s="1">
        <v>36</v>
      </c>
    </row>
    <row r="6" spans="1:5" x14ac:dyDescent="0.25">
      <c r="A6" s="1">
        <v>2017</v>
      </c>
      <c r="B6" s="1">
        <v>141</v>
      </c>
    </row>
    <row r="7" spans="1:5" x14ac:dyDescent="0.25">
      <c r="A7" s="1">
        <v>2018</v>
      </c>
      <c r="B7" s="1">
        <v>163</v>
      </c>
    </row>
    <row r="8" spans="1:5" x14ac:dyDescent="0.25">
      <c r="A8" s="1">
        <v>2019</v>
      </c>
      <c r="B8" s="1">
        <v>182</v>
      </c>
    </row>
    <row r="9" spans="1:5" x14ac:dyDescent="0.25">
      <c r="A9" s="1">
        <v>2020</v>
      </c>
      <c r="B9" s="1">
        <v>169</v>
      </c>
    </row>
    <row r="10" spans="1:5" x14ac:dyDescent="0.25">
      <c r="A10" s="1">
        <v>2021</v>
      </c>
      <c r="B10" s="1">
        <v>99</v>
      </c>
    </row>
    <row r="11" spans="1:5" x14ac:dyDescent="0.25">
      <c r="A11" s="1">
        <v>2022</v>
      </c>
      <c r="B11" s="1">
        <v>83</v>
      </c>
    </row>
    <row r="12" spans="1:5" x14ac:dyDescent="0.25">
      <c r="A12" s="1">
        <v>2023</v>
      </c>
      <c r="B12" s="1">
        <v>69</v>
      </c>
      <c r="C12" s="1">
        <v>69</v>
      </c>
      <c r="D12" s="2">
        <v>69</v>
      </c>
      <c r="E12" s="2">
        <v>69</v>
      </c>
    </row>
    <row r="13" spans="1:5" x14ac:dyDescent="0.25">
      <c r="A13" s="1">
        <v>2024</v>
      </c>
      <c r="C13" s="12">
        <f t="shared" ref="C13:C22" si="0">_xlfn.FORECAST.ETS(A13,$B$3:$B$12,$A$3:$A$12,7,1)</f>
        <v>77.594325382672494</v>
      </c>
      <c r="D13" s="2">
        <f t="shared" ref="D13:D22" si="1">C13-_xlfn.FORECAST.ETS.CONFINT(A13,$B$3:$B$12,$A$3:$A$12,0.95,7,1)</f>
        <v>-16.556275984036091</v>
      </c>
      <c r="E13" s="2">
        <f t="shared" ref="E13:E22" si="2">C13+_xlfn.FORECAST.ETS.CONFINT(A13,$B$3:$B$12,$A$3:$A$12,0.95,7,1)</f>
        <v>171.74492674938108</v>
      </c>
    </row>
    <row r="14" spans="1:5" x14ac:dyDescent="0.25">
      <c r="A14" s="1">
        <v>2025</v>
      </c>
      <c r="C14" s="12">
        <f t="shared" si="0"/>
        <v>79.818949668103556</v>
      </c>
      <c r="D14" s="2">
        <f t="shared" si="1"/>
        <v>-37.925816492090007</v>
      </c>
      <c r="E14" s="2">
        <f t="shared" si="2"/>
        <v>197.56371582829712</v>
      </c>
    </row>
    <row r="15" spans="1:5" x14ac:dyDescent="0.25">
      <c r="A15" s="1">
        <v>2026</v>
      </c>
      <c r="C15" s="12">
        <f t="shared" si="0"/>
        <v>82.043573953534548</v>
      </c>
      <c r="D15" s="2">
        <f t="shared" si="1"/>
        <v>-55.348737604056794</v>
      </c>
      <c r="E15" s="2">
        <f t="shared" si="2"/>
        <v>219.43588551112589</v>
      </c>
    </row>
    <row r="16" spans="1:5" x14ac:dyDescent="0.25">
      <c r="A16" s="1">
        <v>2027</v>
      </c>
      <c r="C16" s="12">
        <f t="shared" si="0"/>
        <v>84.268198238965596</v>
      </c>
      <c r="D16" s="2">
        <f t="shared" si="1"/>
        <v>-70.337123200637762</v>
      </c>
      <c r="E16" s="2">
        <f t="shared" si="2"/>
        <v>238.87351967856895</v>
      </c>
    </row>
    <row r="17" spans="1:5" x14ac:dyDescent="0.25">
      <c r="A17" s="1">
        <v>2028</v>
      </c>
      <c r="C17" s="12">
        <f t="shared" si="0"/>
        <v>86.492822524396601</v>
      </c>
      <c r="D17" s="2">
        <f t="shared" si="1"/>
        <v>-83.631608741969856</v>
      </c>
      <c r="E17" s="2">
        <f t="shared" si="2"/>
        <v>256.61725379076307</v>
      </c>
    </row>
    <row r="18" spans="1:5" x14ac:dyDescent="0.25">
      <c r="A18" s="1">
        <v>2029</v>
      </c>
      <c r="C18" s="12">
        <f t="shared" si="0"/>
        <v>88.717446809827649</v>
      </c>
      <c r="D18" s="2">
        <f t="shared" si="1"/>
        <v>-95.660466977573762</v>
      </c>
      <c r="E18" s="2">
        <f t="shared" si="2"/>
        <v>273.09536059722905</v>
      </c>
    </row>
    <row r="19" spans="1:5" x14ac:dyDescent="0.25">
      <c r="A19" s="1">
        <v>2030</v>
      </c>
      <c r="C19" s="12">
        <f t="shared" si="0"/>
        <v>90.94207109525864</v>
      </c>
      <c r="D19" s="2">
        <f t="shared" si="1"/>
        <v>-106.69775809608602</v>
      </c>
      <c r="E19" s="2">
        <f t="shared" si="2"/>
        <v>288.58190028660329</v>
      </c>
    </row>
    <row r="20" spans="1:5" x14ac:dyDescent="0.25">
      <c r="A20" s="1">
        <v>2031</v>
      </c>
      <c r="C20" s="12">
        <f t="shared" si="0"/>
        <v>93.166695380689703</v>
      </c>
      <c r="D20" s="2">
        <f t="shared" si="1"/>
        <v>-116.93137889164746</v>
      </c>
      <c r="E20" s="2">
        <f t="shared" si="2"/>
        <v>303.26476965302686</v>
      </c>
    </row>
    <row r="21" spans="1:5" x14ac:dyDescent="0.25">
      <c r="A21" s="1">
        <v>2032</v>
      </c>
      <c r="C21" s="12">
        <f t="shared" si="0"/>
        <v>95.391319666120694</v>
      </c>
      <c r="D21" s="2">
        <f t="shared" si="1"/>
        <v>-126.49678053699469</v>
      </c>
      <c r="E21" s="2">
        <f t="shared" si="2"/>
        <v>317.27941986923611</v>
      </c>
    </row>
    <row r="22" spans="1:5" x14ac:dyDescent="0.25">
      <c r="A22" s="1">
        <v>2033</v>
      </c>
      <c r="C22" s="12">
        <f t="shared" si="0"/>
        <v>97.615943951551756</v>
      </c>
      <c r="D22" s="2">
        <f t="shared" si="1"/>
        <v>-135.49541228804708</v>
      </c>
      <c r="E22" s="2">
        <f t="shared" si="2"/>
        <v>330.72730019115056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3" sqref="C13:C22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19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0</v>
      </c>
    </row>
    <row r="4" spans="1:5" x14ac:dyDescent="0.25">
      <c r="A4" s="1">
        <v>2015</v>
      </c>
      <c r="B4" s="1">
        <v>115</v>
      </c>
    </row>
    <row r="5" spans="1:5" x14ac:dyDescent="0.25">
      <c r="A5" s="1">
        <v>2016</v>
      </c>
      <c r="B5" s="1">
        <v>139</v>
      </c>
    </row>
    <row r="6" spans="1:5" x14ac:dyDescent="0.25">
      <c r="A6" s="1">
        <v>2017</v>
      </c>
      <c r="B6" s="1">
        <v>168</v>
      </c>
    </row>
    <row r="7" spans="1:5" x14ac:dyDescent="0.25">
      <c r="A7" s="1">
        <v>2018</v>
      </c>
      <c r="B7" s="1">
        <v>188</v>
      </c>
    </row>
    <row r="8" spans="1:5" x14ac:dyDescent="0.25">
      <c r="A8" s="1">
        <v>2019</v>
      </c>
      <c r="B8" s="1">
        <v>163</v>
      </c>
    </row>
    <row r="9" spans="1:5" x14ac:dyDescent="0.25">
      <c r="A9" s="1">
        <v>2020</v>
      </c>
      <c r="B9" s="1">
        <v>160</v>
      </c>
    </row>
    <row r="10" spans="1:5" x14ac:dyDescent="0.25">
      <c r="A10" s="1">
        <v>2021</v>
      </c>
      <c r="B10" s="1">
        <v>154</v>
      </c>
    </row>
    <row r="11" spans="1:5" x14ac:dyDescent="0.25">
      <c r="A11" s="1">
        <v>2022</v>
      </c>
      <c r="B11" s="1">
        <v>184</v>
      </c>
    </row>
    <row r="12" spans="1:5" x14ac:dyDescent="0.25">
      <c r="A12" s="1">
        <v>2023</v>
      </c>
      <c r="B12" s="1">
        <v>191</v>
      </c>
      <c r="C12" s="1">
        <v>191</v>
      </c>
      <c r="D12" s="2">
        <v>191</v>
      </c>
      <c r="E12" s="2">
        <v>191</v>
      </c>
    </row>
    <row r="13" spans="1:5" x14ac:dyDescent="0.25">
      <c r="A13" s="1">
        <v>2024</v>
      </c>
      <c r="C13" s="12">
        <f t="shared" ref="C13:C22" si="0">_xlfn.FORECAST.ETS(A13,$B$3:$B$12,$A$3:$A$12,5,1)</f>
        <v>182.45028607786705</v>
      </c>
      <c r="D13" s="2">
        <f t="shared" ref="D13:D22" si="1">C13-_xlfn.FORECAST.ETS.CONFINT(A13,$B$3:$B$12,$A$3:$A$12,0.95,5,1)</f>
        <v>72.152191054270475</v>
      </c>
      <c r="E13" s="2">
        <f t="shared" ref="E13:E22" si="2">C13+_xlfn.FORECAST.ETS.CONFINT(A13,$B$3:$B$12,$A$3:$A$12,0.95,5,1)</f>
        <v>292.74838110146362</v>
      </c>
    </row>
    <row r="14" spans="1:5" x14ac:dyDescent="0.25">
      <c r="A14" s="1">
        <v>2025</v>
      </c>
      <c r="C14" s="12">
        <f t="shared" si="0"/>
        <v>200.96000182315461</v>
      </c>
      <c r="D14" s="2">
        <f t="shared" si="1"/>
        <v>87.213624040634073</v>
      </c>
      <c r="E14" s="2">
        <f t="shared" si="2"/>
        <v>314.70637960567512</v>
      </c>
    </row>
    <row r="15" spans="1:5" x14ac:dyDescent="0.25">
      <c r="A15" s="1">
        <v>2026</v>
      </c>
      <c r="C15" s="12">
        <f t="shared" si="0"/>
        <v>207.645880623701</v>
      </c>
      <c r="D15" s="2">
        <f t="shared" si="1"/>
        <v>90.526493609060367</v>
      </c>
      <c r="E15" s="2">
        <f t="shared" si="2"/>
        <v>324.76526763834164</v>
      </c>
    </row>
    <row r="16" spans="1:5" x14ac:dyDescent="0.25">
      <c r="A16" s="1">
        <v>2027</v>
      </c>
      <c r="C16" s="12">
        <f t="shared" si="0"/>
        <v>234.31453592586018</v>
      </c>
      <c r="D16" s="2">
        <f t="shared" si="1"/>
        <v>113.89098687793626</v>
      </c>
      <c r="E16" s="2">
        <f t="shared" si="2"/>
        <v>354.73808497378411</v>
      </c>
    </row>
    <row r="17" spans="1:5" x14ac:dyDescent="0.25">
      <c r="A17" s="1">
        <v>2028</v>
      </c>
      <c r="C17" s="12">
        <f t="shared" si="0"/>
        <v>254.69357748227847</v>
      </c>
      <c r="D17" s="2">
        <f t="shared" si="1"/>
        <v>131.02909655981989</v>
      </c>
      <c r="E17" s="2">
        <f t="shared" si="2"/>
        <v>378.35805840473705</v>
      </c>
    </row>
    <row r="18" spans="1:5" x14ac:dyDescent="0.25">
      <c r="A18" s="1">
        <v>2029</v>
      </c>
      <c r="C18" s="12">
        <f t="shared" si="0"/>
        <v>233.71277370240216</v>
      </c>
      <c r="D18" s="2">
        <f t="shared" si="1"/>
        <v>98.037598132269665</v>
      </c>
      <c r="E18" s="2">
        <f t="shared" si="2"/>
        <v>369.38794927253468</v>
      </c>
    </row>
    <row r="19" spans="1:5" x14ac:dyDescent="0.25">
      <c r="A19" s="1">
        <v>2030</v>
      </c>
      <c r="C19" s="12">
        <f t="shared" si="0"/>
        <v>252.22248944768972</v>
      </c>
      <c r="D19" s="2">
        <f t="shared" si="1"/>
        <v>113.61771468018804</v>
      </c>
      <c r="E19" s="2">
        <f t="shared" si="2"/>
        <v>390.82726421519141</v>
      </c>
    </row>
    <row r="20" spans="1:5" x14ac:dyDescent="0.25">
      <c r="A20" s="1">
        <v>2031</v>
      </c>
      <c r="C20" s="12">
        <f t="shared" si="0"/>
        <v>258.90836824823612</v>
      </c>
      <c r="D20" s="2">
        <f t="shared" si="1"/>
        <v>117.41250530290876</v>
      </c>
      <c r="E20" s="2">
        <f t="shared" si="2"/>
        <v>400.40423119356348</v>
      </c>
    </row>
    <row r="21" spans="1:5" x14ac:dyDescent="0.25">
      <c r="A21" s="1">
        <v>2032</v>
      </c>
      <c r="C21" s="12">
        <f t="shared" si="0"/>
        <v>285.57702355039532</v>
      </c>
      <c r="D21" s="2">
        <f t="shared" si="1"/>
        <v>141.226185228601</v>
      </c>
      <c r="E21" s="2">
        <f t="shared" si="2"/>
        <v>429.92786187218962</v>
      </c>
    </row>
    <row r="22" spans="1:5" x14ac:dyDescent="0.25">
      <c r="A22" s="1">
        <v>2033</v>
      </c>
      <c r="C22" s="12">
        <f t="shared" si="0"/>
        <v>305.95606510681353</v>
      </c>
      <c r="D22" s="2">
        <f t="shared" si="1"/>
        <v>158.78417988285096</v>
      </c>
      <c r="E22" s="2">
        <f t="shared" si="2"/>
        <v>453.12795033077612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3" sqref="C13:C22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20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3">
        <v>2014</v>
      </c>
      <c r="B3" s="3">
        <v>865</v>
      </c>
    </row>
    <row r="4" spans="1:5" x14ac:dyDescent="0.25">
      <c r="A4" s="3">
        <v>2015</v>
      </c>
      <c r="B4" s="3">
        <v>879</v>
      </c>
    </row>
    <row r="5" spans="1:5" x14ac:dyDescent="0.25">
      <c r="A5" s="3">
        <v>2016</v>
      </c>
      <c r="B5" s="3">
        <v>893</v>
      </c>
    </row>
    <row r="6" spans="1:5" x14ac:dyDescent="0.25">
      <c r="A6" s="3">
        <v>2017</v>
      </c>
      <c r="B6" s="3">
        <v>819</v>
      </c>
    </row>
    <row r="7" spans="1:5" x14ac:dyDescent="0.25">
      <c r="A7" s="3">
        <v>2018</v>
      </c>
      <c r="B7" s="3">
        <v>722</v>
      </c>
    </row>
    <row r="8" spans="1:5" x14ac:dyDescent="0.25">
      <c r="A8" s="3">
        <v>2019</v>
      </c>
      <c r="B8" s="3">
        <v>725</v>
      </c>
    </row>
    <row r="9" spans="1:5" x14ac:dyDescent="0.25">
      <c r="A9" s="3">
        <v>2020</v>
      </c>
      <c r="B9" s="3">
        <v>794</v>
      </c>
    </row>
    <row r="10" spans="1:5" x14ac:dyDescent="0.25">
      <c r="A10" s="3">
        <v>2021</v>
      </c>
      <c r="B10" s="3">
        <v>820</v>
      </c>
    </row>
    <row r="11" spans="1:5" x14ac:dyDescent="0.25">
      <c r="A11" s="3">
        <v>2022</v>
      </c>
      <c r="B11" s="3">
        <v>861</v>
      </c>
    </row>
    <row r="12" spans="1:5" x14ac:dyDescent="0.25">
      <c r="A12" s="3">
        <v>2023</v>
      </c>
      <c r="B12" s="3">
        <v>825</v>
      </c>
      <c r="C12" s="3">
        <v>825</v>
      </c>
      <c r="D12" s="4">
        <v>825</v>
      </c>
      <c r="E12" s="4">
        <v>825</v>
      </c>
    </row>
    <row r="13" spans="1:5" x14ac:dyDescent="0.25">
      <c r="A13" s="3">
        <v>2024</v>
      </c>
      <c r="C13" s="13">
        <f t="shared" ref="C13:C22" si="0">_xlfn.FORECAST.ETS(A13,$B$3:$B$12,$A$3:$A$12,4,1)</f>
        <v>870.0332519366201</v>
      </c>
      <c r="D13" s="4">
        <f t="shared" ref="D13:D22" si="1">C13-_xlfn.FORECAST.ETS.CONFINT(A13,$B$3:$B$12,$A$3:$A$12,0.95,4,1)</f>
        <v>733.49520834133125</v>
      </c>
      <c r="E13" s="4">
        <f t="shared" ref="E13:E22" si="2">C13+_xlfn.FORECAST.ETS.CONFINT(A13,$B$3:$B$12,$A$3:$A$12,0.95,4,1)</f>
        <v>1006.571295531909</v>
      </c>
    </row>
    <row r="14" spans="1:5" x14ac:dyDescent="0.25">
      <c r="A14" s="3">
        <v>2025</v>
      </c>
      <c r="C14" s="13">
        <f t="shared" si="0"/>
        <v>837.96508611176841</v>
      </c>
      <c r="D14" s="4">
        <f t="shared" si="1"/>
        <v>685.18859403499869</v>
      </c>
      <c r="E14" s="4">
        <f t="shared" si="2"/>
        <v>990.74157818853814</v>
      </c>
    </row>
    <row r="15" spans="1:5" x14ac:dyDescent="0.25">
      <c r="A15" s="3">
        <v>2026</v>
      </c>
      <c r="C15" s="13">
        <f t="shared" si="0"/>
        <v>743.00903890595725</v>
      </c>
      <c r="D15" s="4">
        <f t="shared" si="1"/>
        <v>575.50557158580546</v>
      </c>
      <c r="E15" s="4">
        <f t="shared" si="2"/>
        <v>910.51250622610905</v>
      </c>
    </row>
    <row r="16" spans="1:5" x14ac:dyDescent="0.25">
      <c r="A16" s="3">
        <v>2027</v>
      </c>
      <c r="C16" s="13">
        <f t="shared" si="0"/>
        <v>813.05646158860668</v>
      </c>
      <c r="D16" s="4">
        <f t="shared" si="1"/>
        <v>631.96825177616938</v>
      </c>
      <c r="E16" s="4">
        <f t="shared" si="2"/>
        <v>994.14467140104398</v>
      </c>
    </row>
    <row r="17" spans="1:5" x14ac:dyDescent="0.25">
      <c r="A17" s="3">
        <v>2028</v>
      </c>
      <c r="C17" s="13">
        <f t="shared" si="0"/>
        <v>845.9019454929047</v>
      </c>
      <c r="D17" s="4">
        <f t="shared" si="1"/>
        <v>652.08211671030028</v>
      </c>
      <c r="E17" s="4">
        <f t="shared" si="2"/>
        <v>1039.7217742755092</v>
      </c>
    </row>
    <row r="18" spans="1:5" x14ac:dyDescent="0.25">
      <c r="A18" s="3">
        <v>2029</v>
      </c>
      <c r="C18" s="13">
        <f t="shared" si="0"/>
        <v>813.83377966805301</v>
      </c>
      <c r="D18" s="4">
        <f t="shared" si="1"/>
        <v>608.06859231712406</v>
      </c>
      <c r="E18" s="4">
        <f t="shared" si="2"/>
        <v>1019.598967018982</v>
      </c>
    </row>
    <row r="19" spans="1:5" x14ac:dyDescent="0.25">
      <c r="A19" s="3">
        <v>2030</v>
      </c>
      <c r="C19" s="13">
        <f t="shared" si="0"/>
        <v>718.87773246224185</v>
      </c>
      <c r="D19" s="4">
        <f t="shared" si="1"/>
        <v>501.78009633176248</v>
      </c>
      <c r="E19" s="4">
        <f t="shared" si="2"/>
        <v>935.97536859272122</v>
      </c>
    </row>
    <row r="20" spans="1:5" x14ac:dyDescent="0.25">
      <c r="A20" s="3">
        <v>2031</v>
      </c>
      <c r="C20" s="13">
        <f t="shared" si="0"/>
        <v>788.92515514489128</v>
      </c>
      <c r="D20" s="4">
        <f t="shared" si="1"/>
        <v>561.01645154138646</v>
      </c>
      <c r="E20" s="4">
        <f t="shared" si="2"/>
        <v>1016.8338587483961</v>
      </c>
    </row>
    <row r="21" spans="1:5" x14ac:dyDescent="0.25">
      <c r="A21" s="3">
        <v>2032</v>
      </c>
      <c r="C21" s="13">
        <f t="shared" si="0"/>
        <v>821.7706390491893</v>
      </c>
      <c r="D21" s="4">
        <f t="shared" si="1"/>
        <v>583.46132921707078</v>
      </c>
      <c r="E21" s="4">
        <f t="shared" si="2"/>
        <v>1060.0799488813077</v>
      </c>
    </row>
    <row r="22" spans="1:5" x14ac:dyDescent="0.25">
      <c r="A22" s="3">
        <v>2033</v>
      </c>
      <c r="C22" s="13">
        <f t="shared" si="0"/>
        <v>789.70247322433761</v>
      </c>
      <c r="D22" s="4">
        <f t="shared" si="1"/>
        <v>541.42787297878078</v>
      </c>
      <c r="E22" s="4">
        <f t="shared" si="2"/>
        <v>1037.9770734698945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30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3">
        <v>2016</v>
      </c>
      <c r="B3" s="3">
        <v>308</v>
      </c>
    </row>
    <row r="4" spans="1:5" x14ac:dyDescent="0.25">
      <c r="A4" s="3">
        <v>2017</v>
      </c>
      <c r="B4" s="3">
        <v>234</v>
      </c>
    </row>
    <row r="5" spans="1:5" x14ac:dyDescent="0.25">
      <c r="A5" s="3">
        <v>2018</v>
      </c>
      <c r="B5" s="3">
        <v>217</v>
      </c>
    </row>
    <row r="6" spans="1:5" x14ac:dyDescent="0.25">
      <c r="A6" s="3">
        <v>2019</v>
      </c>
      <c r="B6" s="3">
        <v>235</v>
      </c>
    </row>
    <row r="7" spans="1:5" x14ac:dyDescent="0.25">
      <c r="A7" s="3">
        <v>2020</v>
      </c>
      <c r="B7" s="3">
        <v>255</v>
      </c>
    </row>
    <row r="8" spans="1:5" x14ac:dyDescent="0.25">
      <c r="A8" s="3">
        <v>2021</v>
      </c>
      <c r="B8" s="3">
        <v>293</v>
      </c>
    </row>
    <row r="9" spans="1:5" x14ac:dyDescent="0.25">
      <c r="A9" s="3">
        <v>2022</v>
      </c>
      <c r="B9" s="3">
        <v>334</v>
      </c>
    </row>
    <row r="10" spans="1:5" x14ac:dyDescent="0.25">
      <c r="A10" s="3">
        <v>2023</v>
      </c>
      <c r="B10" s="3">
        <v>312</v>
      </c>
      <c r="C10" s="3">
        <v>312</v>
      </c>
      <c r="D10" s="4">
        <v>312</v>
      </c>
      <c r="E10" s="4">
        <v>312</v>
      </c>
    </row>
    <row r="11" spans="1:5" x14ac:dyDescent="0.25">
      <c r="A11" s="3">
        <v>2024</v>
      </c>
      <c r="C11" s="13">
        <f t="shared" ref="C11:C20" si="0">_xlfn.FORECAST.ETS(A11,$B$3:$B$10,$A$3:$A$10,3,1)</f>
        <v>315.89070416710484</v>
      </c>
      <c r="D11" s="4">
        <f t="shared" ref="D11:D20" si="1">C11-_xlfn.FORECAST.ETS.CONFINT(A11,$B$3:$B$10,$A$3:$A$10,0.95,3,1)</f>
        <v>246.17680629026856</v>
      </c>
      <c r="E11" s="4">
        <f t="shared" ref="E11:E20" si="2">C11+_xlfn.FORECAST.ETS.CONFINT(A11,$B$3:$B$10,$A$3:$A$10,0.95,3,1)</f>
        <v>385.6046020439411</v>
      </c>
    </row>
    <row r="12" spans="1:5" x14ac:dyDescent="0.25">
      <c r="A12" s="3">
        <v>2025</v>
      </c>
      <c r="C12" s="13">
        <f t="shared" si="0"/>
        <v>386.86163766513118</v>
      </c>
      <c r="D12" s="4">
        <f t="shared" si="1"/>
        <v>299.6355373230972</v>
      </c>
      <c r="E12" s="4">
        <f t="shared" si="2"/>
        <v>474.08773800716517</v>
      </c>
    </row>
    <row r="13" spans="1:5" x14ac:dyDescent="0.25">
      <c r="A13" s="3">
        <v>2026</v>
      </c>
      <c r="C13" s="13">
        <f t="shared" si="0"/>
        <v>356.02789432449731</v>
      </c>
      <c r="D13" s="4">
        <f t="shared" si="1"/>
        <v>254.22380822748073</v>
      </c>
      <c r="E13" s="4">
        <f t="shared" si="2"/>
        <v>457.83198042151389</v>
      </c>
    </row>
    <row r="14" spans="1:5" x14ac:dyDescent="0.25">
      <c r="A14" s="3">
        <v>2027</v>
      </c>
      <c r="C14" s="13">
        <f t="shared" si="0"/>
        <v>360.90736927033277</v>
      </c>
      <c r="D14" s="4">
        <f t="shared" si="1"/>
        <v>246.30191933739366</v>
      </c>
      <c r="E14" s="4">
        <f t="shared" si="2"/>
        <v>475.51281920327187</v>
      </c>
    </row>
    <row r="15" spans="1:5" x14ac:dyDescent="0.25">
      <c r="A15" s="3">
        <v>2028</v>
      </c>
      <c r="C15" s="13">
        <f t="shared" si="0"/>
        <v>431.87830276835916</v>
      </c>
      <c r="D15" s="4">
        <f t="shared" si="1"/>
        <v>305.76428149152389</v>
      </c>
      <c r="E15" s="4">
        <f t="shared" si="2"/>
        <v>557.99232404519444</v>
      </c>
    </row>
    <row r="16" spans="1:5" x14ac:dyDescent="0.25">
      <c r="A16" s="3">
        <v>2029</v>
      </c>
      <c r="C16" s="13">
        <f t="shared" si="0"/>
        <v>401.04455942772529</v>
      </c>
      <c r="D16" s="4">
        <f t="shared" si="1"/>
        <v>264.36088420447265</v>
      </c>
      <c r="E16" s="4">
        <f t="shared" si="2"/>
        <v>537.72823465097792</v>
      </c>
    </row>
    <row r="17" spans="1:5" x14ac:dyDescent="0.25">
      <c r="A17" s="3">
        <v>2030</v>
      </c>
      <c r="C17" s="13">
        <f t="shared" si="0"/>
        <v>405.92403437356074</v>
      </c>
      <c r="D17" s="4">
        <f t="shared" si="1"/>
        <v>259.38112616609988</v>
      </c>
      <c r="E17" s="4">
        <f t="shared" si="2"/>
        <v>552.46694258102161</v>
      </c>
    </row>
    <row r="18" spans="1:5" x14ac:dyDescent="0.25">
      <c r="A18" s="3">
        <v>2031</v>
      </c>
      <c r="C18" s="13">
        <f t="shared" si="0"/>
        <v>476.89496787158703</v>
      </c>
      <c r="D18" s="4">
        <f t="shared" si="1"/>
        <v>321.11556994212719</v>
      </c>
      <c r="E18" s="4">
        <f t="shared" si="2"/>
        <v>632.67436580104686</v>
      </c>
    </row>
    <row r="19" spans="1:5" x14ac:dyDescent="0.25">
      <c r="A19" s="3">
        <v>2032</v>
      </c>
      <c r="C19" s="13">
        <f t="shared" si="0"/>
        <v>446.06122453095321</v>
      </c>
      <c r="D19" s="4">
        <f t="shared" si="1"/>
        <v>281.54073840708497</v>
      </c>
      <c r="E19" s="4">
        <f t="shared" si="2"/>
        <v>610.58171065482145</v>
      </c>
    </row>
    <row r="20" spans="1:5" x14ac:dyDescent="0.25">
      <c r="A20" s="3">
        <v>2033</v>
      </c>
      <c r="C20" s="13">
        <f t="shared" si="0"/>
        <v>450.94069947678867</v>
      </c>
      <c r="D20" s="4">
        <f t="shared" si="1"/>
        <v>278.07793780332497</v>
      </c>
      <c r="E20" s="4">
        <f t="shared" si="2"/>
        <v>623.80346115025236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31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61</v>
      </c>
    </row>
    <row r="4" spans="1:5" x14ac:dyDescent="0.25">
      <c r="A4" s="1">
        <v>2015</v>
      </c>
      <c r="B4" s="1">
        <v>86</v>
      </c>
    </row>
    <row r="5" spans="1:5" x14ac:dyDescent="0.25">
      <c r="A5" s="1">
        <v>2016</v>
      </c>
      <c r="B5" s="1">
        <v>71</v>
      </c>
    </row>
    <row r="6" spans="1:5" x14ac:dyDescent="0.25">
      <c r="A6" s="1">
        <v>2017</v>
      </c>
      <c r="B6" s="1">
        <v>68</v>
      </c>
    </row>
    <row r="7" spans="1:5" x14ac:dyDescent="0.25">
      <c r="A7" s="1">
        <v>2018</v>
      </c>
      <c r="B7" s="1">
        <v>68</v>
      </c>
    </row>
    <row r="8" spans="1:5" x14ac:dyDescent="0.25">
      <c r="A8" s="1">
        <v>2019</v>
      </c>
      <c r="B8" s="1">
        <v>68</v>
      </c>
    </row>
    <row r="9" spans="1:5" x14ac:dyDescent="0.25">
      <c r="A9" s="1">
        <v>2020</v>
      </c>
      <c r="B9" s="1">
        <v>75</v>
      </c>
    </row>
    <row r="10" spans="1:5" x14ac:dyDescent="0.25">
      <c r="A10" s="1">
        <v>2021</v>
      </c>
      <c r="B10" s="1">
        <v>91</v>
      </c>
    </row>
    <row r="11" spans="1:5" x14ac:dyDescent="0.25">
      <c r="A11" s="1">
        <v>2022</v>
      </c>
      <c r="B11" s="1">
        <v>113</v>
      </c>
    </row>
    <row r="12" spans="1:5" x14ac:dyDescent="0.25">
      <c r="A12" s="1">
        <v>2023</v>
      </c>
      <c r="B12" s="1">
        <v>94</v>
      </c>
      <c r="C12" s="1">
        <v>94</v>
      </c>
      <c r="D12" s="2">
        <v>94</v>
      </c>
      <c r="E12" s="2">
        <v>94</v>
      </c>
    </row>
    <row r="13" spans="1:5" x14ac:dyDescent="0.25">
      <c r="A13" s="1">
        <v>2024</v>
      </c>
      <c r="C13" s="12">
        <f t="shared" ref="C13:C22" si="0">_xlfn.FORECAST.ETS(A13,$B$3:$B$12,$A$3:$A$12,3,1)</f>
        <v>109.08267485587041</v>
      </c>
      <c r="D13" s="2">
        <f t="shared" ref="D13:D22" si="1">C13-_xlfn.FORECAST.ETS.CONFINT(A13,$B$3:$B$12,$A$3:$A$12,0.95,3,1)</f>
        <v>86.311203765487349</v>
      </c>
      <c r="E13" s="2">
        <f t="shared" ref="E13:E22" si="2">C13+_xlfn.FORECAST.ETS.CONFINT(A13,$B$3:$B$12,$A$3:$A$12,0.95,3,1)</f>
        <v>131.85414594625345</v>
      </c>
    </row>
    <row r="14" spans="1:5" x14ac:dyDescent="0.25">
      <c r="A14" s="1">
        <v>2025</v>
      </c>
      <c r="C14" s="12">
        <f t="shared" si="0"/>
        <v>112.7267506646879</v>
      </c>
      <c r="D14" s="2">
        <f t="shared" si="1"/>
        <v>89.772373618106812</v>
      </c>
      <c r="E14" s="2">
        <f t="shared" si="2"/>
        <v>135.68112771126897</v>
      </c>
    </row>
    <row r="15" spans="1:5" x14ac:dyDescent="0.25">
      <c r="A15" s="1">
        <v>2026</v>
      </c>
      <c r="C15" s="12">
        <f t="shared" si="0"/>
        <v>108.70542709993286</v>
      </c>
      <c r="D15" s="2">
        <f t="shared" si="1"/>
        <v>85.566732598158367</v>
      </c>
      <c r="E15" s="2">
        <f t="shared" si="2"/>
        <v>131.84412160170734</v>
      </c>
    </row>
    <row r="16" spans="1:5" x14ac:dyDescent="0.25">
      <c r="A16" s="1">
        <v>2027</v>
      </c>
      <c r="C16" s="12">
        <f t="shared" si="0"/>
        <v>122.27233886649319</v>
      </c>
      <c r="D16" s="2">
        <f t="shared" si="1"/>
        <v>98.94504782182986</v>
      </c>
      <c r="E16" s="2">
        <f t="shared" si="2"/>
        <v>145.59962991115651</v>
      </c>
    </row>
    <row r="17" spans="1:5" x14ac:dyDescent="0.25">
      <c r="A17" s="1">
        <v>2028</v>
      </c>
      <c r="C17" s="12">
        <f t="shared" si="0"/>
        <v>125.91641467531068</v>
      </c>
      <c r="D17" s="2">
        <f t="shared" si="1"/>
        <v>102.40203967365667</v>
      </c>
      <c r="E17" s="2">
        <f t="shared" si="2"/>
        <v>149.43078967696468</v>
      </c>
    </row>
    <row r="18" spans="1:5" x14ac:dyDescent="0.25">
      <c r="A18" s="1">
        <v>2029</v>
      </c>
      <c r="C18" s="12">
        <f t="shared" si="0"/>
        <v>121.89509111055564</v>
      </c>
      <c r="D18" s="2">
        <f t="shared" si="1"/>
        <v>98.192253835934949</v>
      </c>
      <c r="E18" s="2">
        <f t="shared" si="2"/>
        <v>145.59792838517632</v>
      </c>
    </row>
    <row r="19" spans="1:5" x14ac:dyDescent="0.25">
      <c r="A19" s="1">
        <v>2030</v>
      </c>
      <c r="C19" s="12">
        <f t="shared" si="0"/>
        <v>135.46200287711594</v>
      </c>
      <c r="D19" s="2">
        <f t="shared" si="1"/>
        <v>111.56646046685094</v>
      </c>
      <c r="E19" s="2">
        <f t="shared" si="2"/>
        <v>159.35754528738093</v>
      </c>
    </row>
    <row r="20" spans="1:5" x14ac:dyDescent="0.25">
      <c r="A20" s="1">
        <v>2031</v>
      </c>
      <c r="C20" s="12">
        <f t="shared" si="0"/>
        <v>139.10607868593345</v>
      </c>
      <c r="D20" s="2">
        <f t="shared" si="1"/>
        <v>115.0193728236866</v>
      </c>
      <c r="E20" s="2">
        <f t="shared" si="2"/>
        <v>163.19278454818033</v>
      </c>
    </row>
    <row r="21" spans="1:5" x14ac:dyDescent="0.25">
      <c r="A21" s="1">
        <v>2032</v>
      </c>
      <c r="C21" s="12">
        <f t="shared" si="0"/>
        <v>135.0847551211784</v>
      </c>
      <c r="D21" s="2">
        <f t="shared" si="1"/>
        <v>110.80553969604259</v>
      </c>
      <c r="E21" s="2">
        <f t="shared" si="2"/>
        <v>159.36397054631422</v>
      </c>
    </row>
    <row r="22" spans="1:5" x14ac:dyDescent="0.25">
      <c r="A22" s="1">
        <v>2033</v>
      </c>
      <c r="C22" s="12">
        <f t="shared" si="0"/>
        <v>148.65166688773871</v>
      </c>
      <c r="D22" s="2">
        <f t="shared" si="1"/>
        <v>124.17573553529488</v>
      </c>
      <c r="E22" s="2">
        <f t="shared" si="2"/>
        <v>173.12759824018255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opLeftCell="B1" workbookViewId="0">
      <selection activeCell="B1" sqref="B1:E1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B1" s="23" t="s">
        <v>32</v>
      </c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112</v>
      </c>
    </row>
    <row r="4" spans="1:5" x14ac:dyDescent="0.25">
      <c r="A4" s="1">
        <v>2015</v>
      </c>
      <c r="B4" s="1">
        <v>156</v>
      </c>
    </row>
    <row r="5" spans="1:5" x14ac:dyDescent="0.25">
      <c r="A5" s="1">
        <v>2016</v>
      </c>
      <c r="B5" s="1">
        <v>157</v>
      </c>
    </row>
    <row r="6" spans="1:5" x14ac:dyDescent="0.25">
      <c r="A6" s="1">
        <v>2017</v>
      </c>
      <c r="B6" s="1">
        <v>161</v>
      </c>
    </row>
    <row r="7" spans="1:5" x14ac:dyDescent="0.25">
      <c r="A7" s="1">
        <v>2018</v>
      </c>
      <c r="B7" s="1">
        <v>162</v>
      </c>
    </row>
    <row r="8" spans="1:5" x14ac:dyDescent="0.25">
      <c r="A8" s="1">
        <v>2019</v>
      </c>
      <c r="B8" s="1">
        <v>137</v>
      </c>
    </row>
    <row r="9" spans="1:5" x14ac:dyDescent="0.25">
      <c r="A9" s="1">
        <v>2020</v>
      </c>
      <c r="B9" s="1">
        <v>177</v>
      </c>
    </row>
    <row r="10" spans="1:5" x14ac:dyDescent="0.25">
      <c r="A10" s="1">
        <v>2021</v>
      </c>
      <c r="B10" s="1">
        <v>194</v>
      </c>
    </row>
    <row r="11" spans="1:5" x14ac:dyDescent="0.25">
      <c r="A11" s="1">
        <v>2022</v>
      </c>
      <c r="B11" s="1">
        <v>218</v>
      </c>
    </row>
    <row r="12" spans="1:5" x14ac:dyDescent="0.25">
      <c r="A12" s="1">
        <v>2023</v>
      </c>
      <c r="B12" s="1">
        <v>190</v>
      </c>
      <c r="C12" s="1">
        <v>190</v>
      </c>
      <c r="D12" s="2">
        <v>190</v>
      </c>
      <c r="E12" s="2">
        <v>190</v>
      </c>
    </row>
    <row r="13" spans="1:5" x14ac:dyDescent="0.25">
      <c r="A13" s="1">
        <v>2024</v>
      </c>
      <c r="C13" s="12">
        <f t="shared" ref="C13:C22" si="0">_xlfn.FORECAST.ETS(A13,$B$3:$B$12,$A$3:$A$12,1,1)</f>
        <v>210.46191591448388</v>
      </c>
      <c r="D13" s="2">
        <f t="shared" ref="D13:D22" si="1">C13-_xlfn.FORECAST.ETS.CONFINT(A13,$B$3:$B$12,$A$3:$A$12,0.95,1,1)</f>
        <v>170.86162038173711</v>
      </c>
      <c r="E13" s="2">
        <f t="shared" ref="E13:E22" si="2">C13+_xlfn.FORECAST.ETS.CONFINT(A13,$B$3:$B$12,$A$3:$A$12,0.95,1,1)</f>
        <v>250.06221144723065</v>
      </c>
    </row>
    <row r="14" spans="1:5" x14ac:dyDescent="0.25">
      <c r="A14" s="1">
        <v>2025</v>
      </c>
      <c r="C14" s="12">
        <f t="shared" si="0"/>
        <v>218.67338261252041</v>
      </c>
      <c r="D14" s="2">
        <f t="shared" si="1"/>
        <v>177.84470973352535</v>
      </c>
      <c r="E14" s="2">
        <f t="shared" si="2"/>
        <v>259.50205549151548</v>
      </c>
    </row>
    <row r="15" spans="1:5" x14ac:dyDescent="0.25">
      <c r="A15" s="1">
        <v>2026</v>
      </c>
      <c r="C15" s="12">
        <f t="shared" si="0"/>
        <v>226.88484931055692</v>
      </c>
      <c r="D15" s="2">
        <f t="shared" si="1"/>
        <v>184.8543074618911</v>
      </c>
      <c r="E15" s="2">
        <f t="shared" si="2"/>
        <v>268.91539115922274</v>
      </c>
    </row>
    <row r="16" spans="1:5" x14ac:dyDescent="0.25">
      <c r="A16" s="1">
        <v>2027</v>
      </c>
      <c r="C16" s="12">
        <f t="shared" si="0"/>
        <v>235.09631600859345</v>
      </c>
      <c r="D16" s="2">
        <f t="shared" si="1"/>
        <v>191.88816516011255</v>
      </c>
      <c r="E16" s="2">
        <f t="shared" si="2"/>
        <v>278.30446685707437</v>
      </c>
    </row>
    <row r="17" spans="1:5" x14ac:dyDescent="0.25">
      <c r="A17" s="1">
        <v>2028</v>
      </c>
      <c r="C17" s="12">
        <f t="shared" si="0"/>
        <v>243.30778270662998</v>
      </c>
      <c r="D17" s="2">
        <f t="shared" si="1"/>
        <v>198.94431552489701</v>
      </c>
      <c r="E17" s="2">
        <f t="shared" si="2"/>
        <v>287.67124988836292</v>
      </c>
    </row>
    <row r="18" spans="1:5" x14ac:dyDescent="0.25">
      <c r="A18" s="1">
        <v>2029</v>
      </c>
      <c r="C18" s="12">
        <f t="shared" si="0"/>
        <v>251.51924940466648</v>
      </c>
      <c r="D18" s="2">
        <f t="shared" si="1"/>
        <v>206.0210258527726</v>
      </c>
      <c r="E18" s="2">
        <f t="shared" si="2"/>
        <v>297.01747295656037</v>
      </c>
    </row>
    <row r="19" spans="1:5" x14ac:dyDescent="0.25">
      <c r="A19" s="1">
        <v>2030</v>
      </c>
      <c r="C19" s="12">
        <f t="shared" si="0"/>
        <v>259.73071610270301</v>
      </c>
      <c r="D19" s="2">
        <f t="shared" si="1"/>
        <v>213.11676095950435</v>
      </c>
      <c r="E19" s="2">
        <f t="shared" si="2"/>
        <v>306.34467124590168</v>
      </c>
    </row>
    <row r="20" spans="1:5" x14ac:dyDescent="0.25">
      <c r="A20" s="1">
        <v>2031</v>
      </c>
      <c r="C20" s="12">
        <f t="shared" si="0"/>
        <v>267.94218280073954</v>
      </c>
      <c r="D20" s="2">
        <f t="shared" si="1"/>
        <v>220.23015329146816</v>
      </c>
      <c r="E20" s="2">
        <f t="shared" si="2"/>
        <v>315.65421231001091</v>
      </c>
    </row>
    <row r="21" spans="1:5" x14ac:dyDescent="0.25">
      <c r="A21" s="1">
        <v>2032</v>
      </c>
      <c r="C21" s="12">
        <f t="shared" si="0"/>
        <v>276.15364949877608</v>
      </c>
      <c r="D21" s="2">
        <f t="shared" si="1"/>
        <v>227.35997859619627</v>
      </c>
      <c r="E21" s="2">
        <f t="shared" si="2"/>
        <v>324.94732040135591</v>
      </c>
    </row>
    <row r="22" spans="1:5" x14ac:dyDescent="0.25">
      <c r="A22" s="1">
        <v>2033</v>
      </c>
      <c r="C22" s="12">
        <f t="shared" si="0"/>
        <v>284.36511619681261</v>
      </c>
      <c r="D22" s="2">
        <f t="shared" si="1"/>
        <v>234.50513593983706</v>
      </c>
      <c r="E22" s="2">
        <f t="shared" si="2"/>
        <v>334.22509645378818</v>
      </c>
    </row>
  </sheetData>
  <mergeCells count="1">
    <mergeCell ref="B1:E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3" sqref="C13:C22"/>
    </sheetView>
  </sheetViews>
  <sheetFormatPr defaultRowHeight="15" x14ac:dyDescent="0.25"/>
  <cols>
    <col min="2" max="2" width="10.140625" customWidth="1"/>
    <col min="3" max="3" width="18.5703125" customWidth="1"/>
    <col min="4" max="4" width="32.28515625" customWidth="1"/>
    <col min="5" max="5" width="32.42578125" customWidth="1"/>
  </cols>
  <sheetData>
    <row r="1" spans="1:5" x14ac:dyDescent="0.25">
      <c r="A1" s="23" t="s">
        <v>21</v>
      </c>
      <c r="B1" s="23"/>
      <c r="C1" s="23"/>
      <c r="D1" s="23"/>
      <c r="E1" s="2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2014</v>
      </c>
      <c r="B3" s="1">
        <v>0</v>
      </c>
    </row>
    <row r="4" spans="1:5" x14ac:dyDescent="0.25">
      <c r="A4" s="1">
        <v>2015</v>
      </c>
      <c r="B4" s="1">
        <v>9</v>
      </c>
    </row>
    <row r="5" spans="1:5" x14ac:dyDescent="0.25">
      <c r="A5" s="1">
        <v>2016</v>
      </c>
      <c r="B5" s="1">
        <v>26</v>
      </c>
    </row>
    <row r="6" spans="1:5" x14ac:dyDescent="0.25">
      <c r="A6" s="1">
        <v>2017</v>
      </c>
      <c r="B6" s="1">
        <v>69</v>
      </c>
    </row>
    <row r="7" spans="1:5" x14ac:dyDescent="0.25">
      <c r="A7" s="1">
        <v>2018</v>
      </c>
      <c r="B7" s="1">
        <v>113</v>
      </c>
    </row>
    <row r="8" spans="1:5" x14ac:dyDescent="0.25">
      <c r="A8" s="1">
        <v>2019</v>
      </c>
      <c r="B8" s="1">
        <v>152</v>
      </c>
    </row>
    <row r="9" spans="1:5" x14ac:dyDescent="0.25">
      <c r="A9" s="1">
        <v>2020</v>
      </c>
      <c r="B9" s="1">
        <v>221</v>
      </c>
    </row>
    <row r="10" spans="1:5" x14ac:dyDescent="0.25">
      <c r="A10" s="1">
        <v>2021</v>
      </c>
      <c r="B10" s="1">
        <v>247</v>
      </c>
    </row>
    <row r="11" spans="1:5" x14ac:dyDescent="0.25">
      <c r="A11" s="1">
        <v>2022</v>
      </c>
      <c r="B11" s="1">
        <v>305</v>
      </c>
    </row>
    <row r="12" spans="1:5" x14ac:dyDescent="0.25">
      <c r="A12" s="1">
        <v>2023</v>
      </c>
      <c r="B12" s="1">
        <v>266</v>
      </c>
      <c r="C12" s="1">
        <v>266</v>
      </c>
      <c r="D12" s="2">
        <v>266</v>
      </c>
      <c r="E12" s="2">
        <v>266</v>
      </c>
    </row>
    <row r="13" spans="1:5" x14ac:dyDescent="0.25">
      <c r="A13" s="1">
        <v>2024</v>
      </c>
      <c r="C13" s="12">
        <f t="shared" ref="C13:C22" si="0">_xlfn.FORECAST.ETS(A13,$B$3:$B$12,$A$3:$A$12,1,1)</f>
        <v>343.10664439170273</v>
      </c>
      <c r="D13" s="2">
        <f t="shared" ref="D13:D22" si="1">C13-_xlfn.FORECAST.ETS.CONFINT(A13,$B$3:$B$12,$A$3:$A$12,0.95,1,1)</f>
        <v>288.39539321431948</v>
      </c>
      <c r="E13" s="2">
        <f t="shared" ref="E13:E22" si="2">C13+_xlfn.FORECAST.ETS.CONFINT(A13,$B$3:$B$12,$A$3:$A$12,0.95,1,1)</f>
        <v>397.81789556908598</v>
      </c>
    </row>
    <row r="14" spans="1:5" x14ac:dyDescent="0.25">
      <c r="A14" s="1">
        <v>2025</v>
      </c>
      <c r="C14" s="12">
        <f t="shared" si="0"/>
        <v>379.77491722642219</v>
      </c>
      <c r="D14" s="2">
        <f t="shared" si="1"/>
        <v>323.36655594854426</v>
      </c>
      <c r="E14" s="2">
        <f t="shared" si="2"/>
        <v>436.18327850430012</v>
      </c>
    </row>
    <row r="15" spans="1:5" x14ac:dyDescent="0.25">
      <c r="A15" s="1">
        <v>2026</v>
      </c>
      <c r="C15" s="12">
        <f t="shared" si="0"/>
        <v>416.44319006114171</v>
      </c>
      <c r="D15" s="2">
        <f t="shared" si="1"/>
        <v>358.37434230968222</v>
      </c>
      <c r="E15" s="2">
        <f t="shared" si="2"/>
        <v>474.51203781260119</v>
      </c>
    </row>
    <row r="16" spans="1:5" x14ac:dyDescent="0.25">
      <c r="A16" s="1">
        <v>2027</v>
      </c>
      <c r="C16" s="12">
        <f t="shared" si="0"/>
        <v>453.11146289586117</v>
      </c>
      <c r="D16" s="2">
        <f t="shared" si="1"/>
        <v>393.41564592836761</v>
      </c>
      <c r="E16" s="2">
        <f t="shared" si="2"/>
        <v>512.80727986335478</v>
      </c>
    </row>
    <row r="17" spans="1:5" x14ac:dyDescent="0.25">
      <c r="A17" s="1">
        <v>2028</v>
      </c>
      <c r="C17" s="12">
        <f t="shared" si="0"/>
        <v>489.77973573058063</v>
      </c>
      <c r="D17" s="2">
        <f t="shared" si="1"/>
        <v>428.48774880406194</v>
      </c>
      <c r="E17" s="2">
        <f t="shared" si="2"/>
        <v>551.07172265709937</v>
      </c>
    </row>
    <row r="18" spans="1:5" x14ac:dyDescent="0.25">
      <c r="A18" s="1">
        <v>2029</v>
      </c>
      <c r="C18" s="12">
        <f t="shared" si="0"/>
        <v>526.44800856530014</v>
      </c>
      <c r="D18" s="2">
        <f t="shared" si="1"/>
        <v>463.58825705627544</v>
      </c>
      <c r="E18" s="2">
        <f t="shared" si="2"/>
        <v>589.30776007432485</v>
      </c>
    </row>
    <row r="19" spans="1:5" x14ac:dyDescent="0.25">
      <c r="A19" s="1">
        <v>2030</v>
      </c>
      <c r="C19" s="12">
        <f t="shared" si="0"/>
        <v>563.1162814000196</v>
      </c>
      <c r="D19" s="2">
        <f t="shared" si="1"/>
        <v>498.71504969451667</v>
      </c>
      <c r="E19" s="2">
        <f t="shared" si="2"/>
        <v>627.51751310552254</v>
      </c>
    </row>
    <row r="20" spans="1:5" x14ac:dyDescent="0.25">
      <c r="A20" s="1">
        <v>2031</v>
      </c>
      <c r="C20" s="12">
        <f t="shared" si="0"/>
        <v>599.78455423473906</v>
      </c>
      <c r="D20" s="2">
        <f t="shared" si="1"/>
        <v>533.86623732455701</v>
      </c>
      <c r="E20" s="2">
        <f t="shared" si="2"/>
        <v>665.70287114492112</v>
      </c>
    </row>
    <row r="21" spans="1:5" x14ac:dyDescent="0.25">
      <c r="A21" s="1">
        <v>2032</v>
      </c>
      <c r="C21" s="12">
        <f t="shared" si="0"/>
        <v>636.45282706945852</v>
      </c>
      <c r="D21" s="2">
        <f t="shared" si="1"/>
        <v>569.04012853517429</v>
      </c>
      <c r="E21" s="2">
        <f t="shared" si="2"/>
        <v>703.86552560374275</v>
      </c>
    </row>
    <row r="22" spans="1:5" x14ac:dyDescent="0.25">
      <c r="A22" s="1">
        <v>2033</v>
      </c>
      <c r="C22" s="12">
        <f t="shared" si="0"/>
        <v>673.12109990417798</v>
      </c>
      <c r="D22" s="2">
        <f t="shared" si="1"/>
        <v>604.23520229053588</v>
      </c>
      <c r="E22" s="2">
        <f t="shared" si="2"/>
        <v>742.00699751782008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Enrolment history</vt:lpstr>
      <vt:lpstr>OVERALL-undergraduate</vt:lpstr>
      <vt:lpstr>GS-OVERALL</vt:lpstr>
      <vt:lpstr>FACC</vt:lpstr>
      <vt:lpstr>FC</vt:lpstr>
      <vt:lpstr>FECO</vt:lpstr>
      <vt:lpstr>FED</vt:lpstr>
      <vt:lpstr>FENG</vt:lpstr>
      <vt:lpstr>FMS</vt:lpstr>
      <vt:lpstr>FSS</vt:lpstr>
      <vt:lpstr>FLAW</vt:lpstr>
      <vt:lpstr>MBBS</vt:lpstr>
      <vt:lpstr>Health 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iNetLab</cp:lastModifiedBy>
  <dcterms:created xsi:type="dcterms:W3CDTF">2024-06-12T11:21:55Z</dcterms:created>
  <dcterms:modified xsi:type="dcterms:W3CDTF">2024-06-16T08:52:46Z</dcterms:modified>
</cp:coreProperties>
</file>
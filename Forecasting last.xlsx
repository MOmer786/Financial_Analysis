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etLab\Desktop\Students_enrollment_analysis\"/>
    </mc:Choice>
  </mc:AlternateContent>
  <bookViews>
    <workbookView xWindow="0" yWindow="495" windowWidth="28800" windowHeight="16245" activeTab="18"/>
  </bookViews>
  <sheets>
    <sheet name="ACC" sheetId="21" r:id="rId1"/>
    <sheet name="CS" sheetId="20" r:id="rId2"/>
    <sheet name="IT" sheetId="19" r:id="rId3"/>
    <sheet name="ITI2" sheetId="18" r:id="rId4"/>
    <sheet name="Eco1" sheetId="16" r:id="rId5"/>
    <sheet name="SP" sheetId="24" r:id="rId6"/>
    <sheet name="EE" sheetId="31" r:id="rId7"/>
    <sheet name="CE" sheetId="34" r:id="rId8"/>
    <sheet name="BA" sheetId="38" r:id="rId9"/>
    <sheet name="BF" sheetId="41" r:id="rId10"/>
    <sheet name="PL" sheetId="43" r:id="rId11"/>
    <sheet name="MBBS" sheetId="45" r:id="rId12"/>
    <sheet name="MBL" sheetId="47" r:id="rId13"/>
    <sheet name="Nursing" sheetId="50" r:id="rId14"/>
    <sheet name="BHealth" sheetId="52" r:id="rId15"/>
    <sheet name="Pscience" sheetId="54" r:id="rId16"/>
    <sheet name="BAdmin" sheetId="56" r:id="rId17"/>
    <sheet name="BSW" sheetId="58" r:id="rId18"/>
    <sheet name="ALL" sheetId="6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0" l="1"/>
  <c r="C16" i="58"/>
  <c r="C21" i="19"/>
  <c r="C13" i="20"/>
  <c r="C16" i="60"/>
  <c r="C19" i="60"/>
  <c r="C9" i="58"/>
  <c r="C22" i="56"/>
  <c r="C18" i="54"/>
  <c r="C15" i="52"/>
  <c r="C14" i="52"/>
  <c r="C15" i="50"/>
  <c r="C14" i="47"/>
  <c r="C19" i="45"/>
  <c r="C20" i="43"/>
  <c r="C19" i="43"/>
  <c r="C15" i="41"/>
  <c r="C14" i="38"/>
  <c r="C17" i="34"/>
  <c r="C20" i="34"/>
  <c r="C21" i="31"/>
  <c r="C17" i="24"/>
  <c r="C19" i="24"/>
  <c r="C15" i="21"/>
  <c r="C14" i="20"/>
  <c r="C20" i="19"/>
  <c r="C18" i="18"/>
  <c r="C13" i="16"/>
  <c r="C15" i="16"/>
  <c r="C13" i="21"/>
  <c r="C19" i="21"/>
  <c r="C18" i="20"/>
  <c r="C14" i="19"/>
  <c r="C15" i="18"/>
  <c r="C17" i="16"/>
  <c r="C16" i="16"/>
  <c r="C19" i="31"/>
  <c r="C18" i="31"/>
  <c r="C14" i="24"/>
  <c r="C17" i="21"/>
  <c r="C16" i="21"/>
  <c r="C22" i="20"/>
  <c r="C18" i="19"/>
  <c r="C19" i="18"/>
  <c r="C21" i="16"/>
  <c r="C13" i="54"/>
  <c r="C20" i="60"/>
  <c r="C10" i="58"/>
  <c r="C13" i="58"/>
  <c r="C15" i="56"/>
  <c r="C16" i="54"/>
  <c r="C19" i="52"/>
  <c r="C13" i="50"/>
  <c r="C12" i="50"/>
  <c r="C18" i="47"/>
  <c r="C17" i="45"/>
  <c r="C13" i="43"/>
  <c r="C13" i="41"/>
  <c r="C19" i="41"/>
  <c r="C18" i="38"/>
  <c r="C21" i="34"/>
  <c r="C15" i="31"/>
  <c r="C14" i="31"/>
  <c r="C21" i="24"/>
  <c r="C18" i="60"/>
  <c r="C14" i="58"/>
  <c r="C17" i="58"/>
  <c r="C19" i="56"/>
  <c r="C20" i="54"/>
  <c r="C16" i="52"/>
  <c r="C17" i="50"/>
  <c r="C20" i="50"/>
  <c r="C11" i="47"/>
  <c r="C21" i="45"/>
  <c r="C17" i="43"/>
  <c r="C17" i="41"/>
  <c r="C20" i="41"/>
  <c r="C22" i="38"/>
  <c r="C14" i="34"/>
  <c r="C15" i="20"/>
  <c r="C16" i="18"/>
  <c r="C15" i="60"/>
  <c r="C11" i="58"/>
  <c r="C13" i="56"/>
  <c r="C16" i="56"/>
  <c r="C12" i="52"/>
  <c r="C21" i="50"/>
  <c r="C12" i="47"/>
  <c r="C15" i="47"/>
  <c r="C16" i="45"/>
  <c r="C21" i="43"/>
  <c r="C21" i="41"/>
  <c r="C13" i="38"/>
  <c r="C15" i="38"/>
  <c r="C18" i="34"/>
  <c r="C12" i="31"/>
  <c r="C22" i="19"/>
  <c r="C19" i="16"/>
  <c r="C13" i="60"/>
  <c r="C15" i="58"/>
  <c r="C17" i="56"/>
  <c r="C20" i="56"/>
  <c r="C21" i="54"/>
  <c r="C10" i="52"/>
  <c r="C19" i="50"/>
  <c r="C16" i="47"/>
  <c r="C19" i="47"/>
  <c r="C20" i="45"/>
  <c r="C14" i="43"/>
  <c r="C16" i="41"/>
  <c r="C17" i="38"/>
  <c r="C20" i="38"/>
  <c r="C15" i="34"/>
  <c r="C16" i="31"/>
  <c r="C15" i="24"/>
  <c r="C20" i="21"/>
  <c r="C17" i="20"/>
  <c r="C16" i="20"/>
  <c r="C15" i="19"/>
  <c r="C20" i="18"/>
  <c r="C20" i="16"/>
  <c r="C14" i="54"/>
  <c r="C16" i="50"/>
  <c r="C14" i="45"/>
  <c r="C13" i="45"/>
  <c r="C18" i="43"/>
  <c r="C14" i="41"/>
  <c r="C21" i="38"/>
  <c r="C17" i="60"/>
  <c r="C8" i="58"/>
  <c r="C21" i="56"/>
  <c r="C15" i="54"/>
  <c r="C18" i="52"/>
  <c r="C20" i="47"/>
  <c r="C19" i="34"/>
  <c r="C20" i="31"/>
  <c r="C16" i="24"/>
  <c r="C14" i="21"/>
  <c r="C21" i="20"/>
  <c r="C13" i="19"/>
  <c r="C19" i="19"/>
  <c r="C13" i="18"/>
  <c r="C14" i="16"/>
  <c r="C17" i="47"/>
  <c r="C15" i="45"/>
  <c r="C16" i="43"/>
  <c r="C15" i="43"/>
  <c r="C22" i="41"/>
  <c r="C16" i="38"/>
  <c r="C13" i="34"/>
  <c r="C16" i="34"/>
  <c r="C17" i="31"/>
  <c r="C13" i="24"/>
  <c r="C18" i="24"/>
  <c r="C22" i="21"/>
  <c r="C20" i="20"/>
  <c r="C14" i="18"/>
  <c r="C21" i="18"/>
  <c r="C22" i="16"/>
  <c r="C22" i="24"/>
  <c r="C21" i="21"/>
  <c r="C21" i="60"/>
  <c r="C12" i="58"/>
  <c r="C14" i="56"/>
  <c r="C19" i="54"/>
  <c r="C22" i="54"/>
  <c r="C13" i="52"/>
  <c r="C14" i="50"/>
  <c r="C13" i="47"/>
  <c r="C18" i="45"/>
  <c r="C22" i="45"/>
  <c r="C22" i="43"/>
  <c r="C18" i="41"/>
  <c r="C19" i="38"/>
  <c r="C12" i="34"/>
  <c r="C13" i="31"/>
  <c r="C20" i="24"/>
  <c r="C18" i="21"/>
  <c r="C19" i="20"/>
  <c r="C17" i="19"/>
  <c r="C16" i="19"/>
  <c r="C17" i="18"/>
  <c r="C18" i="16"/>
  <c r="C14" i="60"/>
  <c r="C18" i="56"/>
  <c r="C17" i="54"/>
  <c r="C11" i="52"/>
  <c r="C17" i="52"/>
  <c r="C18" i="50"/>
  <c r="D18" i="50"/>
  <c r="D18" i="56"/>
  <c r="E16" i="19"/>
  <c r="E20" i="24"/>
  <c r="D13" i="31"/>
  <c r="D19" i="38"/>
  <c r="E18" i="45"/>
  <c r="D22" i="54"/>
  <c r="E21" i="60"/>
  <c r="D21" i="18"/>
  <c r="D18" i="24"/>
  <c r="E17" i="31"/>
  <c r="D16" i="38"/>
  <c r="D15" i="45"/>
  <c r="D19" i="19"/>
  <c r="E16" i="24"/>
  <c r="D20" i="31"/>
  <c r="E18" i="52"/>
  <c r="D17" i="60"/>
  <c r="E18" i="43"/>
  <c r="E14" i="54"/>
  <c r="E16" i="20"/>
  <c r="E15" i="34"/>
  <c r="D16" i="41"/>
  <c r="D16" i="47"/>
  <c r="D20" i="56"/>
  <c r="D19" i="16"/>
  <c r="D15" i="38"/>
  <c r="D16" i="45"/>
  <c r="D12" i="52"/>
  <c r="E15" i="60"/>
  <c r="E17" i="43"/>
  <c r="E17" i="50"/>
  <c r="E17" i="58"/>
  <c r="E21" i="34"/>
  <c r="D13" i="41"/>
  <c r="E12" i="50"/>
  <c r="D15" i="56"/>
  <c r="E13" i="54"/>
  <c r="D22" i="20"/>
  <c r="D20" i="43"/>
  <c r="D17" i="58"/>
  <c r="E20" i="43"/>
  <c r="E9" i="58"/>
  <c r="E18" i="50"/>
  <c r="E18" i="56"/>
  <c r="D16" i="19"/>
  <c r="D20" i="24"/>
  <c r="E13" i="31"/>
  <c r="E19" i="38"/>
  <c r="D18" i="45"/>
  <c r="E22" i="54"/>
  <c r="D21" i="60"/>
  <c r="E21" i="18"/>
  <c r="E18" i="24"/>
  <c r="D17" i="31"/>
  <c r="E16" i="38"/>
  <c r="E15" i="45"/>
  <c r="E19" i="19"/>
  <c r="D16" i="24"/>
  <c r="E20" i="31"/>
  <c r="D18" i="52"/>
  <c r="E17" i="60"/>
  <c r="D18" i="43"/>
  <c r="D14" i="54"/>
  <c r="D16" i="20"/>
  <c r="D15" i="34"/>
  <c r="E16" i="41"/>
  <c r="E16" i="47"/>
  <c r="E20" i="56"/>
  <c r="E19" i="16"/>
  <c r="E15" i="38"/>
  <c r="E16" i="45"/>
  <c r="E12" i="52"/>
  <c r="D15" i="60"/>
  <c r="D17" i="43"/>
  <c r="E13" i="41"/>
  <c r="D12" i="50"/>
  <c r="E15" i="56"/>
  <c r="D13" i="54"/>
  <c r="E22" i="20"/>
  <c r="D16" i="16"/>
  <c r="D18" i="20"/>
  <c r="D13" i="16"/>
  <c r="E15" i="21"/>
  <c r="E14" i="52"/>
  <c r="E21" i="19"/>
  <c r="E16" i="56"/>
  <c r="D16" i="18"/>
  <c r="D22" i="38"/>
  <c r="E21" i="45"/>
  <c r="D16" i="52"/>
  <c r="E14" i="58"/>
  <c r="D13" i="43"/>
  <c r="D13" i="50"/>
  <c r="E13" i="58"/>
  <c r="E21" i="16"/>
  <c r="E16" i="21"/>
  <c r="E17" i="16"/>
  <c r="D19" i="21"/>
  <c r="D18" i="18"/>
  <c r="D19" i="24"/>
  <c r="D14" i="38"/>
  <c r="D15" i="52"/>
  <c r="E17" i="20"/>
  <c r="D14" i="43"/>
  <c r="D19" i="50"/>
  <c r="D22" i="19"/>
  <c r="D15" i="47"/>
  <c r="E17" i="52"/>
  <c r="D14" i="60"/>
  <c r="E17" i="19"/>
  <c r="D12" i="34"/>
  <c r="E18" i="41"/>
  <c r="D13" i="47"/>
  <c r="D19" i="54"/>
  <c r="E21" i="21"/>
  <c r="D14" i="18"/>
  <c r="E13" i="24"/>
  <c r="E16" i="34"/>
  <c r="E22" i="41"/>
  <c r="D17" i="47"/>
  <c r="E13" i="19"/>
  <c r="D19" i="34"/>
  <c r="E15" i="54"/>
  <c r="D13" i="45"/>
  <c r="E20" i="16"/>
  <c r="D17" i="20"/>
  <c r="E14" i="43"/>
  <c r="E19" i="50"/>
  <c r="E17" i="56"/>
  <c r="E22" i="19"/>
  <c r="D12" i="31"/>
  <c r="E13" i="38"/>
  <c r="E15" i="47"/>
  <c r="D19" i="60"/>
  <c r="E16" i="58"/>
  <c r="D18" i="34"/>
  <c r="E13" i="56"/>
  <c r="E20" i="41"/>
  <c r="E18" i="60"/>
  <c r="D17" i="52"/>
  <c r="E14" i="60"/>
  <c r="D17" i="19"/>
  <c r="E12" i="34"/>
  <c r="D18" i="41"/>
  <c r="E13" i="47"/>
  <c r="E19" i="54"/>
  <c r="D21" i="21"/>
  <c r="E14" i="18"/>
  <c r="D13" i="24"/>
  <c r="D16" i="34"/>
  <c r="D22" i="41"/>
  <c r="E17" i="47"/>
  <c r="D13" i="19"/>
  <c r="E19" i="34"/>
  <c r="D15" i="54"/>
  <c r="E13" i="45"/>
  <c r="D20" i="16"/>
  <c r="D17" i="16"/>
  <c r="E19" i="21"/>
  <c r="E18" i="18"/>
  <c r="E19" i="24"/>
  <c r="E21" i="31"/>
  <c r="E14" i="38"/>
  <c r="E19" i="45"/>
  <c r="E15" i="52"/>
  <c r="E20" i="54"/>
  <c r="E17" i="21"/>
  <c r="D18" i="31"/>
  <c r="E15" i="18"/>
  <c r="D20" i="19"/>
  <c r="E17" i="24"/>
  <c r="D20" i="34"/>
  <c r="E14" i="47"/>
  <c r="D18" i="54"/>
  <c r="E11" i="52"/>
  <c r="D18" i="16"/>
  <c r="E19" i="20"/>
  <c r="D22" i="43"/>
  <c r="E14" i="50"/>
  <c r="D14" i="56"/>
  <c r="E22" i="24"/>
  <c r="D20" i="20"/>
  <c r="E13" i="34"/>
  <c r="E15" i="43"/>
  <c r="D14" i="16"/>
  <c r="E21" i="20"/>
  <c r="D21" i="56"/>
  <c r="E21" i="38"/>
  <c r="E14" i="45"/>
  <c r="E20" i="18"/>
  <c r="E20" i="21"/>
  <c r="D20" i="38"/>
  <c r="D20" i="45"/>
  <c r="E10" i="52"/>
  <c r="D15" i="58"/>
  <c r="E21" i="41"/>
  <c r="E12" i="47"/>
  <c r="D15" i="20"/>
  <c r="D11" i="52"/>
  <c r="E18" i="16"/>
  <c r="D19" i="20"/>
  <c r="E22" i="43"/>
  <c r="D14" i="50"/>
  <c r="E14" i="56"/>
  <c r="D22" i="24"/>
  <c r="E20" i="20"/>
  <c r="D13" i="34"/>
  <c r="D15" i="43"/>
  <c r="E14" i="16"/>
  <c r="D21" i="20"/>
  <c r="E21" i="56"/>
  <c r="D21" i="38"/>
  <c r="D14" i="45"/>
  <c r="D20" i="18"/>
  <c r="D20" i="21"/>
  <c r="E20" i="38"/>
  <c r="E20" i="45"/>
  <c r="D10" i="52"/>
  <c r="E15" i="58"/>
  <c r="E18" i="34"/>
  <c r="D21" i="41"/>
  <c r="D12" i="47"/>
  <c r="D13" i="56"/>
  <c r="E15" i="20"/>
  <c r="D20" i="41"/>
  <c r="E11" i="47"/>
  <c r="D20" i="54"/>
  <c r="D18" i="60"/>
  <c r="E14" i="31"/>
  <c r="D18" i="38"/>
  <c r="D17" i="45"/>
  <c r="E19" i="52"/>
  <c r="E10" i="58"/>
  <c r="D19" i="18"/>
  <c r="D17" i="21"/>
  <c r="E18" i="31"/>
  <c r="D15" i="18"/>
  <c r="E13" i="21"/>
  <c r="E20" i="19"/>
  <c r="D17" i="24"/>
  <c r="E20" i="34"/>
  <c r="E15" i="41"/>
  <c r="D14" i="47"/>
  <c r="E18" i="54"/>
  <c r="E16" i="60"/>
  <c r="D12" i="60"/>
  <c r="D20" i="50"/>
  <c r="E19" i="56"/>
  <c r="E21" i="24"/>
  <c r="D15" i="31"/>
  <c r="D19" i="41"/>
  <c r="D18" i="47"/>
  <c r="D16" i="54"/>
  <c r="D20" i="60"/>
  <c r="E18" i="19"/>
  <c r="D14" i="24"/>
  <c r="E19" i="31"/>
  <c r="D14" i="19"/>
  <c r="E15" i="16"/>
  <c r="D14" i="20"/>
  <c r="D17" i="34"/>
  <c r="D19" i="43"/>
  <c r="E15" i="50"/>
  <c r="E22" i="56"/>
  <c r="D13" i="20"/>
  <c r="E17" i="34"/>
  <c r="E19" i="43"/>
  <c r="D15" i="50"/>
  <c r="D22" i="56"/>
  <c r="E13" i="20"/>
  <c r="E16" i="16"/>
  <c r="E18" i="20"/>
  <c r="E13" i="16"/>
  <c r="D15" i="21"/>
  <c r="D14" i="52"/>
  <c r="D9" i="58"/>
  <c r="D21" i="19"/>
  <c r="D17" i="50"/>
  <c r="E16" i="18"/>
  <c r="E16" i="52"/>
  <c r="E13" i="43"/>
  <c r="D13" i="58"/>
  <c r="D11" i="47"/>
  <c r="E19" i="18"/>
  <c r="D13" i="21"/>
  <c r="D15" i="41"/>
  <c r="E12" i="60"/>
  <c r="D17" i="54"/>
  <c r="E17" i="18"/>
  <c r="D18" i="21"/>
  <c r="E22" i="45"/>
  <c r="D13" i="52"/>
  <c r="E12" i="58"/>
  <c r="D22" i="16"/>
  <c r="D22" i="21"/>
  <c r="E16" i="43"/>
  <c r="D13" i="18"/>
  <c r="D14" i="21"/>
  <c r="E20" i="47"/>
  <c r="E8" i="58"/>
  <c r="D14" i="41"/>
  <c r="D16" i="50"/>
  <c r="D15" i="19"/>
  <c r="E15" i="24"/>
  <c r="D16" i="31"/>
  <c r="E17" i="38"/>
  <c r="D19" i="47"/>
  <c r="E21" i="54"/>
  <c r="D13" i="60"/>
  <c r="D21" i="43"/>
  <c r="D21" i="50"/>
  <c r="E11" i="58"/>
  <c r="D14" i="34"/>
  <c r="E17" i="41"/>
  <c r="D21" i="34"/>
  <c r="D21" i="31"/>
  <c r="E19" i="60"/>
  <c r="D13" i="38"/>
  <c r="E13" i="50"/>
  <c r="D21" i="16"/>
  <c r="D16" i="21"/>
  <c r="E18" i="38"/>
  <c r="D16" i="60"/>
  <c r="E17" i="54"/>
  <c r="D17" i="18"/>
  <c r="E18" i="21"/>
  <c r="D22" i="45"/>
  <c r="E13" i="52"/>
  <c r="D12" i="58"/>
  <c r="E22" i="16"/>
  <c r="E22" i="21"/>
  <c r="D16" i="43"/>
  <c r="E13" i="18"/>
  <c r="E14" i="21"/>
  <c r="D20" i="47"/>
  <c r="D8" i="58"/>
  <c r="E14" i="41"/>
  <c r="E16" i="50"/>
  <c r="E15" i="19"/>
  <c r="D15" i="24"/>
  <c r="E16" i="31"/>
  <c r="D17" i="38"/>
  <c r="E19" i="47"/>
  <c r="D21" i="54"/>
  <c r="E13" i="60"/>
  <c r="E21" i="43"/>
  <c r="E21" i="50"/>
  <c r="D11" i="58"/>
  <c r="E14" i="34"/>
  <c r="D17" i="41"/>
  <c r="E20" i="50"/>
  <c r="D19" i="56"/>
  <c r="D21" i="24"/>
  <c r="E15" i="31"/>
  <c r="E19" i="41"/>
  <c r="E18" i="47"/>
  <c r="E16" i="54"/>
  <c r="E20" i="60"/>
  <c r="D18" i="19"/>
  <c r="E14" i="24"/>
  <c r="D19" i="31"/>
  <c r="E14" i="19"/>
  <c r="D15" i="16"/>
  <c r="E14" i="20"/>
  <c r="D19" i="45"/>
  <c r="D16" i="58"/>
  <c r="D17" i="56"/>
  <c r="E12" i="31"/>
  <c r="D16" i="56"/>
  <c r="E22" i="38"/>
  <c r="D21" i="45"/>
  <c r="D14" i="58"/>
  <c r="D14" i="31"/>
  <c r="E17" i="45"/>
  <c r="D19" i="52"/>
  <c r="D10" i="58"/>
</calcChain>
</file>

<file path=xl/sharedStrings.xml><?xml version="1.0" encoding="utf-8"?>
<sst xmlns="http://schemas.openxmlformats.org/spreadsheetml/2006/main" count="112" uniqueCount="23">
  <si>
    <t>Date</t>
  </si>
  <si>
    <t>Students</t>
  </si>
  <si>
    <t>Forecast(Students)</t>
  </si>
  <si>
    <t>Lower Confidence Bound(Students)</t>
  </si>
  <si>
    <t>Upper Confidence Bound(Students)</t>
  </si>
  <si>
    <t>Bachelor of Science in Accounting</t>
  </si>
  <si>
    <t>Year</t>
  </si>
  <si>
    <t>Bachelor of Science in Computer Science</t>
  </si>
  <si>
    <t>Bachelor of Science in Information Technology</t>
  </si>
  <si>
    <t>Bachelor of International Trade and Investment</t>
  </si>
  <si>
    <t>Bachelor of Science in Economics</t>
  </si>
  <si>
    <t>Bachelor of Science in Statistics and Planning</t>
  </si>
  <si>
    <t>Bachelor of Business Administraiton</t>
  </si>
  <si>
    <t>Department of Political Science</t>
  </si>
  <si>
    <t>Department of Public Health</t>
  </si>
  <si>
    <t>Department of Nursing</t>
  </si>
  <si>
    <t>Department of Microbiology and Laboratory Sciences</t>
  </si>
  <si>
    <t>Department of Medicine and Surgery</t>
  </si>
  <si>
    <t>Department of Procurement and Logistics</t>
  </si>
  <si>
    <t>Department of Banking and Finance</t>
  </si>
  <si>
    <t>Department of Business Administration</t>
  </si>
  <si>
    <t>Department of Civil Engineering </t>
  </si>
  <si>
    <t>Department of Electrical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</si>
</sst>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6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ACC!$B$2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ACC!$B$3:$B$22</c:f>
              <c:numCache>
                <c:formatCode>General</c:formatCode>
                <c:ptCount val="20"/>
                <c:pt idx="0">
                  <c:v>140</c:v>
                </c:pt>
                <c:pt idx="1">
                  <c:v>111</c:v>
                </c:pt>
                <c:pt idx="2">
                  <c:v>105</c:v>
                </c:pt>
                <c:pt idx="3">
                  <c:v>92</c:v>
                </c:pt>
                <c:pt idx="4">
                  <c:v>93</c:v>
                </c:pt>
                <c:pt idx="5">
                  <c:v>121</c:v>
                </c:pt>
                <c:pt idx="6">
                  <c:v>119</c:v>
                </c:pt>
                <c:pt idx="7">
                  <c:v>146</c:v>
                </c:pt>
                <c:pt idx="8">
                  <c:v>178</c:v>
                </c:pt>
                <c:pt idx="9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9-468C-842A-31BF1EAE8B7D}"/>
            </c:ext>
          </c:extLst>
        </c:ser>
        <c:ser>
          <c:idx val="1"/>
          <c:order val="1"/>
          <c:tx>
            <c:strRef>
              <c:f>ACC!$C$2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ACC!$C$3:$C$22</c:f>
              <c:numCache>
                <c:formatCode>General</c:formatCode>
                <c:ptCount val="20"/>
                <c:pt idx="9">
                  <c:v>157</c:v>
                </c:pt>
                <c:pt idx="10" formatCode="0">
                  <c:v>165.01964493490166</c:v>
                </c:pt>
                <c:pt idx="11" formatCode="0">
                  <c:v>170.6576203743669</c:v>
                </c:pt>
                <c:pt idx="12" formatCode="0">
                  <c:v>176.29559581383214</c:v>
                </c:pt>
                <c:pt idx="13" formatCode="0">
                  <c:v>181.93357125329737</c:v>
                </c:pt>
                <c:pt idx="14" formatCode="0">
                  <c:v>187.57154669276258</c:v>
                </c:pt>
                <c:pt idx="15" formatCode="0">
                  <c:v>193.20952213222785</c:v>
                </c:pt>
                <c:pt idx="16" formatCode="0">
                  <c:v>198.84749757169305</c:v>
                </c:pt>
                <c:pt idx="17" formatCode="0">
                  <c:v>204.48547301115829</c:v>
                </c:pt>
                <c:pt idx="18" formatCode="0">
                  <c:v>210.12344845062353</c:v>
                </c:pt>
                <c:pt idx="19" formatCode="0">
                  <c:v>215.76142389008876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9-468C-842A-31BF1EAE8B7D}"/>
            </c:ext>
          </c:extLst>
        </c:ser>
        <c:ser>
          <c:idx val="2"/>
          <c:order val="2"/>
          <c:tx>
            <c:strRef>
              <c:f>ACC!$D$2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ACC!$A$3:$A$22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ACC!$D$3:$D$22</c:f>
              <c:numCache>
                <c:formatCode>General</c:formatCode>
                <c:ptCount val="20"/>
                <c:pt idx="9" formatCode="0.00">
                  <c:v>157</c:v>
                </c:pt>
                <c:pt idx="10" formatCode="0.00">
                  <c:v>124.88589382806187</c:v>
                </c:pt>
                <c:pt idx="11" formatCode="0.00">
                  <c:v>116.63632417474169</c:v>
                </c:pt>
                <c:pt idx="12" formatCode="0.00">
                  <c:v>111.26647131731377</c:v>
                </c:pt>
                <c:pt idx="13" formatCode="0.00">
                  <c:v>107.48774552458478</c:v>
                </c:pt>
                <c:pt idx="14" formatCode="0.00">
                  <c:v>104.75557316432976</c:v>
                </c:pt>
                <c:pt idx="15" formatCode="0.00">
                  <c:v>102.77886492287017</c:v>
                </c:pt>
                <c:pt idx="16" formatCode="0.00">
                  <c:v>101.38037970403161</c:v>
                </c:pt>
                <c:pt idx="17" formatCode="0.00">
                  <c:v>100.44271930271972</c:v>
                </c:pt>
                <c:pt idx="18" formatCode="0.00">
                  <c:v>99.883375944429545</c:v>
                </c:pt>
                <c:pt idx="19" formatCode="0.00">
                  <c:v>99.641747488227992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9-468C-842A-31BF1EAE8B7D}"/>
            </c:ext>
          </c:extLst>
        </c:ser>
        <c:ser>
          <c:idx val="3"/>
          <c:order val="3"/>
          <c:tx>
            <c:strRef>
              <c:f>ACC!$E$2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ACC!$A$3:$A$22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ACC!$E$3:$E$22</c:f>
              <c:numCache>
                <c:formatCode>General</c:formatCode>
                <c:ptCount val="20"/>
                <c:pt idx="9" formatCode="0.00">
                  <c:v>157</c:v>
                </c:pt>
                <c:pt idx="10" formatCode="0.00">
                  <c:v>205.15339604174147</c:v>
                </c:pt>
                <c:pt idx="11" formatCode="0.00">
                  <c:v>224.67891657399213</c:v>
                </c:pt>
                <c:pt idx="12" formatCode="0.00">
                  <c:v>241.3247203103505</c:v>
                </c:pt>
                <c:pt idx="13" formatCode="0.00">
                  <c:v>256.37939698200995</c:v>
                </c:pt>
                <c:pt idx="14" formatCode="0.00">
                  <c:v>270.38752022119542</c:v>
                </c:pt>
                <c:pt idx="15" formatCode="0.00">
                  <c:v>283.64017934158551</c:v>
                </c:pt>
                <c:pt idx="16" formatCode="0.00">
                  <c:v>296.3146154393545</c:v>
                </c:pt>
                <c:pt idx="17" formatCode="0.00">
                  <c:v>308.52822671959689</c:v>
                </c:pt>
                <c:pt idx="18" formatCode="0.00">
                  <c:v>320.36352095681752</c:v>
                </c:pt>
                <c:pt idx="19" formatCode="0.00">
                  <c:v>331.88110029194956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09-468C-842A-31BF1EAE8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194911"/>
        <c:axId val="229195327"/>
      </c:lineChart>
      <c:catAx>
        <c:axId val="22919491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95327"/>
        <c:crosses val="autoZero"/>
        <c:auto val="1"/>
        <c:lblAlgn val="ctr"/>
        <c:lblOffset val="100"/>
        <c:noMultiLvlLbl val="0"/>
      </c:catAx>
      <c:valAx>
        <c:axId val="22919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9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CS!$B$2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CS!$B$3:$B$22</c:f>
              <c:numCache>
                <c:formatCode>General</c:formatCode>
                <c:ptCount val="20"/>
                <c:pt idx="0">
                  <c:v>100</c:v>
                </c:pt>
                <c:pt idx="1">
                  <c:v>44</c:v>
                </c:pt>
                <c:pt idx="2">
                  <c:v>65</c:v>
                </c:pt>
                <c:pt idx="3">
                  <c:v>59</c:v>
                </c:pt>
                <c:pt idx="4">
                  <c:v>94</c:v>
                </c:pt>
                <c:pt idx="5">
                  <c:v>105</c:v>
                </c:pt>
                <c:pt idx="6">
                  <c:v>135</c:v>
                </c:pt>
                <c:pt idx="7">
                  <c:v>184</c:v>
                </c:pt>
                <c:pt idx="8">
                  <c:v>246</c:v>
                </c:pt>
                <c:pt idx="9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E-4C6C-8B0C-F926F4A13248}"/>
            </c:ext>
          </c:extLst>
        </c:ser>
        <c:ser>
          <c:idx val="1"/>
          <c:order val="1"/>
          <c:tx>
            <c:strRef>
              <c:f>CS!$C$2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CS!$C$3:$C$22</c:f>
              <c:numCache>
                <c:formatCode>General</c:formatCode>
                <c:ptCount val="20"/>
                <c:pt idx="9">
                  <c:v>183</c:v>
                </c:pt>
                <c:pt idx="10" formatCode="0">
                  <c:v>218.08132643817061</c:v>
                </c:pt>
                <c:pt idx="11" formatCode="0">
                  <c:v>236.14928992721389</c:v>
                </c:pt>
                <c:pt idx="12" formatCode="0">
                  <c:v>254.21725341625725</c:v>
                </c:pt>
                <c:pt idx="13" formatCode="0">
                  <c:v>272.28521690530056</c:v>
                </c:pt>
                <c:pt idx="14" formatCode="0">
                  <c:v>290.35318039434389</c:v>
                </c:pt>
                <c:pt idx="15" formatCode="0">
                  <c:v>308.42114388338723</c:v>
                </c:pt>
                <c:pt idx="16" formatCode="0">
                  <c:v>326.48910737243057</c:v>
                </c:pt>
                <c:pt idx="17" formatCode="0">
                  <c:v>344.5570708614739</c:v>
                </c:pt>
                <c:pt idx="18" formatCode="0">
                  <c:v>362.62503435051724</c:v>
                </c:pt>
                <c:pt idx="19" formatCode="0">
                  <c:v>380.69299783956058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E-4C6C-8B0C-F926F4A13248}"/>
            </c:ext>
          </c:extLst>
        </c:ser>
        <c:ser>
          <c:idx val="2"/>
          <c:order val="2"/>
          <c:tx>
            <c:strRef>
              <c:f>CS!$D$2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CS!$D$3:$D$22</c:f>
              <c:numCache>
                <c:formatCode>General</c:formatCode>
                <c:ptCount val="20"/>
                <c:pt idx="9" formatCode="0.00">
                  <c:v>183</c:v>
                </c:pt>
                <c:pt idx="10" formatCode="0.00">
                  <c:v>141.50681123241077</c:v>
                </c:pt>
                <c:pt idx="11" formatCode="0.00">
                  <c:v>140.38518161722172</c:v>
                </c:pt>
                <c:pt idx="12" formatCode="0.00">
                  <c:v>142.47341431379795</c:v>
                </c:pt>
                <c:pt idx="13" formatCode="0.00">
                  <c:v>146.54170209377992</c:v>
                </c:pt>
                <c:pt idx="14" formatCode="0.00">
                  <c:v>151.98767173298333</c:v>
                </c:pt>
                <c:pt idx="15" formatCode="0.00">
                  <c:v>158.46300067484088</c:v>
                </c:pt>
                <c:pt idx="16" formatCode="0.00">
                  <c:v>165.74479043779863</c:v>
                </c:pt>
                <c:pt idx="17" formatCode="0.00">
                  <c:v>173.68022090481847</c:v>
                </c:pt>
                <c:pt idx="18" formatCode="0.00">
                  <c:v>182.15912700275402</c:v>
                </c:pt>
                <c:pt idx="19" formatCode="0.00">
                  <c:v>191.09899807870181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E-4C6C-8B0C-F926F4A13248}"/>
            </c:ext>
          </c:extLst>
        </c:ser>
        <c:ser>
          <c:idx val="3"/>
          <c:order val="3"/>
          <c:tx>
            <c:strRef>
              <c:f>CS!$E$2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CS!$E$3:$E$22</c:f>
              <c:numCache>
                <c:formatCode>General</c:formatCode>
                <c:ptCount val="20"/>
                <c:pt idx="9" formatCode="0.00">
                  <c:v>183</c:v>
                </c:pt>
                <c:pt idx="10" formatCode="0.00">
                  <c:v>294.65584164393044</c:v>
                </c:pt>
                <c:pt idx="11" formatCode="0.00">
                  <c:v>331.91339823720602</c:v>
                </c:pt>
                <c:pt idx="12" formatCode="0.00">
                  <c:v>365.96109251871655</c:v>
                </c:pt>
                <c:pt idx="13" formatCode="0.00">
                  <c:v>398.0287317168212</c:v>
                </c:pt>
                <c:pt idx="14" formatCode="0.00">
                  <c:v>428.71868905570443</c:v>
                </c:pt>
                <c:pt idx="15" formatCode="0.00">
                  <c:v>458.37928709193358</c:v>
                </c:pt>
                <c:pt idx="16" formatCode="0.00">
                  <c:v>487.23342430706248</c:v>
                </c:pt>
                <c:pt idx="17" formatCode="0.00">
                  <c:v>515.43392081812931</c:v>
                </c:pt>
                <c:pt idx="18" formatCode="0.00">
                  <c:v>543.0909416982804</c:v>
                </c:pt>
                <c:pt idx="19" formatCode="0.00">
                  <c:v>570.28699760041934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CE-4C6C-8B0C-F926F4A13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118223"/>
        <c:axId val="572119471"/>
      </c:lineChart>
      <c:catAx>
        <c:axId val="57211822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19471"/>
        <c:crosses val="autoZero"/>
        <c:auto val="1"/>
        <c:lblAlgn val="ctr"/>
        <c:lblOffset val="100"/>
        <c:noMultiLvlLbl val="0"/>
      </c:catAx>
      <c:valAx>
        <c:axId val="5721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1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IT!$B$3:$B$22</c:f>
              <c:numCache>
                <c:formatCode>General</c:formatCode>
                <c:ptCount val="20"/>
                <c:pt idx="0">
                  <c:v>85</c:v>
                </c:pt>
                <c:pt idx="1">
                  <c:v>90</c:v>
                </c:pt>
                <c:pt idx="2">
                  <c:v>90</c:v>
                </c:pt>
                <c:pt idx="3">
                  <c:v>89</c:v>
                </c:pt>
                <c:pt idx="4">
                  <c:v>131</c:v>
                </c:pt>
                <c:pt idx="5">
                  <c:v>107</c:v>
                </c:pt>
                <c:pt idx="6">
                  <c:v>145</c:v>
                </c:pt>
                <c:pt idx="7">
                  <c:v>208</c:v>
                </c:pt>
                <c:pt idx="8">
                  <c:v>171</c:v>
                </c:pt>
                <c:pt idx="9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4-4FDC-8FC9-828E1C84780A}"/>
            </c:ext>
          </c:extLst>
        </c:ser>
        <c:ser>
          <c:idx val="1"/>
          <c:order val="1"/>
          <c:tx>
            <c:strRef>
              <c:f>IT!$C$2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IT!$C$3:$C$22</c:f>
              <c:numCache>
                <c:formatCode>General</c:formatCode>
                <c:ptCount val="20"/>
                <c:pt idx="9">
                  <c:v>139</c:v>
                </c:pt>
                <c:pt idx="10" formatCode="0">
                  <c:v>178.42377749937216</c:v>
                </c:pt>
                <c:pt idx="11" formatCode="0">
                  <c:v>170.65610567601931</c:v>
                </c:pt>
                <c:pt idx="12" formatCode="0">
                  <c:v>187.42757341418911</c:v>
                </c:pt>
                <c:pt idx="13" formatCode="0">
                  <c:v>213.55683220108577</c:v>
                </c:pt>
                <c:pt idx="14" formatCode="0">
                  <c:v>205.78916037773291</c:v>
                </c:pt>
                <c:pt idx="15" formatCode="0">
                  <c:v>222.56062811590272</c:v>
                </c:pt>
                <c:pt idx="16" formatCode="0">
                  <c:v>248.68988690279937</c:v>
                </c:pt>
                <c:pt idx="17" formatCode="0">
                  <c:v>240.92221507944652</c:v>
                </c:pt>
                <c:pt idx="18" formatCode="0">
                  <c:v>257.69368281761632</c:v>
                </c:pt>
                <c:pt idx="19" formatCode="0">
                  <c:v>283.82294160451301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4-4FDC-8FC9-828E1C84780A}"/>
            </c:ext>
          </c:extLst>
        </c:ser>
        <c:ser>
          <c:idx val="2"/>
          <c:order val="2"/>
          <c:tx>
            <c:strRef>
              <c:f>IT!$D$2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IT!$A$3:$A$22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IT!$D$3:$D$22</c:f>
              <c:numCache>
                <c:formatCode>General</c:formatCode>
                <c:ptCount val="20"/>
                <c:pt idx="9" formatCode="0.00">
                  <c:v>139</c:v>
                </c:pt>
                <c:pt idx="10" formatCode="0.00">
                  <c:v>129.1049432740146</c:v>
                </c:pt>
                <c:pt idx="11" formatCode="0.00">
                  <c:v>108.9483298392222</c:v>
                </c:pt>
                <c:pt idx="12" formatCode="0.00">
                  <c:v>115.40665651533554</c:v>
                </c:pt>
                <c:pt idx="13" formatCode="0.00">
                  <c:v>132.47963871879176</c:v>
                </c:pt>
                <c:pt idx="14" formatCode="0.00">
                  <c:v>116.57027148653957</c:v>
                </c:pt>
                <c:pt idx="15" formatCode="0.00">
                  <c:v>125.86427738885412</c:v>
                </c:pt>
                <c:pt idx="16" formatCode="0.00">
                  <c:v>145.01865897125998</c:v>
                </c:pt>
                <c:pt idx="17" formatCode="0.00">
                  <c:v>130.71666731646872</c:v>
                </c:pt>
                <c:pt idx="18" formatCode="0.00">
                  <c:v>141.30428516618605</c:v>
                </c:pt>
                <c:pt idx="19" formatCode="0.00">
                  <c:v>161.53183256664403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94-4FDC-8FC9-828E1C84780A}"/>
            </c:ext>
          </c:extLst>
        </c:ser>
        <c:ser>
          <c:idx val="3"/>
          <c:order val="3"/>
          <c:tx>
            <c:strRef>
              <c:f>IT!$E$2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IT!$A$3:$A$22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IT!$E$3:$E$22</c:f>
              <c:numCache>
                <c:formatCode>General</c:formatCode>
                <c:ptCount val="20"/>
                <c:pt idx="9" formatCode="0.00">
                  <c:v>139</c:v>
                </c:pt>
                <c:pt idx="10" formatCode="0.00">
                  <c:v>227.74261172472973</c:v>
                </c:pt>
                <c:pt idx="11" formatCode="0.00">
                  <c:v>232.36388151281642</c:v>
                </c:pt>
                <c:pt idx="12" formatCode="0.00">
                  <c:v>259.44849031304267</c:v>
                </c:pt>
                <c:pt idx="13" formatCode="0.00">
                  <c:v>294.63402568337978</c:v>
                </c:pt>
                <c:pt idx="14" formatCode="0.00">
                  <c:v>295.00804926892624</c:v>
                </c:pt>
                <c:pt idx="15" formatCode="0.00">
                  <c:v>319.2569788429513</c:v>
                </c:pt>
                <c:pt idx="16" formatCode="0.00">
                  <c:v>352.36111483433876</c:v>
                </c:pt>
                <c:pt idx="17" formatCode="0.00">
                  <c:v>351.12776284242432</c:v>
                </c:pt>
                <c:pt idx="18" formatCode="0.00">
                  <c:v>374.08308046904659</c:v>
                </c:pt>
                <c:pt idx="19" formatCode="0.00">
                  <c:v>406.11405064238198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94-4FDC-8FC9-828E1C847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793871"/>
        <c:axId val="544777647"/>
      </c:lineChart>
      <c:catAx>
        <c:axId val="54479387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77647"/>
        <c:crosses val="autoZero"/>
        <c:auto val="1"/>
        <c:lblAlgn val="ctr"/>
        <c:lblOffset val="100"/>
        <c:noMultiLvlLbl val="0"/>
      </c:catAx>
      <c:valAx>
        <c:axId val="54477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9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'ITI2'!$B$2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'ITI2'!$B$3:$B$21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14</c:v>
                </c:pt>
                <c:pt idx="6">
                  <c:v>32</c:v>
                </c:pt>
                <c:pt idx="7">
                  <c:v>14</c:v>
                </c:pt>
                <c:pt idx="8">
                  <c:v>11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8-490F-93AB-80856B6F551F}"/>
            </c:ext>
          </c:extLst>
        </c:ser>
        <c:ser>
          <c:idx val="1"/>
          <c:order val="1"/>
          <c:tx>
            <c:strRef>
              <c:f>'ITI2'!$C$2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'ITI2'!$A$3:$A$21</c:f>
              <c:numCache>
                <c:formatCode>General</c:formatCode>
                <c:ptCount val="1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</c:numCache>
            </c:numRef>
          </c:cat>
          <c:val>
            <c:numRef>
              <c:f>'ITI2'!$C$3:$C$21</c:f>
              <c:numCache>
                <c:formatCode>General</c:formatCode>
                <c:ptCount val="19"/>
                <c:pt idx="9" formatCode="0">
                  <c:v>9</c:v>
                </c:pt>
                <c:pt idx="10" formatCode="0">
                  <c:v>28.130634905778823</c:v>
                </c:pt>
                <c:pt idx="11" formatCode="0">
                  <c:v>19.532648610244472</c:v>
                </c:pt>
                <c:pt idx="12" formatCode="0">
                  <c:v>41.223866186471952</c:v>
                </c:pt>
                <c:pt idx="13" formatCode="0">
                  <c:v>30.714394457644225</c:v>
                </c:pt>
                <c:pt idx="14" formatCode="0">
                  <c:v>40.999199325871935</c:v>
                </c:pt>
                <c:pt idx="15" formatCode="0">
                  <c:v>32.401213030337587</c:v>
                </c:pt>
                <c:pt idx="16" formatCode="0">
                  <c:v>54.09243060656506</c:v>
                </c:pt>
                <c:pt idx="17" formatCode="0">
                  <c:v>43.58295887773734</c:v>
                </c:pt>
                <c:pt idx="18" formatCode="0">
                  <c:v>53.86776374596505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8-490F-93AB-80856B6F551F}"/>
            </c:ext>
          </c:extLst>
        </c:ser>
        <c:ser>
          <c:idx val="2"/>
          <c:order val="2"/>
          <c:tx>
            <c:strRef>
              <c:f>'ITI2'!$D$2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'ITI2'!$A$3:$A$21</c:f>
              <c:numCache>
                <c:formatCode>General</c:formatCode>
                <c:ptCount val="1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</c:numCache>
            </c:numRef>
          </c:cat>
          <c:val>
            <c:numRef>
              <c:f>'ITI2'!$D$3:$D$21</c:f>
              <c:numCache>
                <c:formatCode>General</c:formatCode>
                <c:ptCount val="19"/>
                <c:pt idx="9" formatCode="0.00">
                  <c:v>9</c:v>
                </c:pt>
                <c:pt idx="10" formatCode="0.00">
                  <c:v>7.55754637731917</c:v>
                </c:pt>
                <c:pt idx="11" formatCode="0.00">
                  <c:v>-1.2056879346612455</c:v>
                </c:pt>
                <c:pt idx="12" formatCode="0.00">
                  <c:v>20.319006393771506</c:v>
                </c:pt>
                <c:pt idx="13" formatCode="0.00">
                  <c:v>9.6417463323644625</c:v>
                </c:pt>
                <c:pt idx="14" formatCode="0.00">
                  <c:v>19.754907713853388</c:v>
                </c:pt>
                <c:pt idx="15" formatCode="0.00">
                  <c:v>10.986653656371789</c:v>
                </c:pt>
                <c:pt idx="16" formatCode="0.00">
                  <c:v>32.506368076908061</c:v>
                </c:pt>
                <c:pt idx="17" formatCode="0.00">
                  <c:v>21.824167558826922</c:v>
                </c:pt>
                <c:pt idx="18" formatCode="0.00">
                  <c:v>31.932432272693479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48-490F-93AB-80856B6F551F}"/>
            </c:ext>
          </c:extLst>
        </c:ser>
        <c:ser>
          <c:idx val="3"/>
          <c:order val="3"/>
          <c:tx>
            <c:strRef>
              <c:f>'ITI2'!$E$2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'ITI2'!$A$3:$A$21</c:f>
              <c:numCache>
                <c:formatCode>General</c:formatCode>
                <c:ptCount val="1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</c:numCache>
            </c:numRef>
          </c:cat>
          <c:val>
            <c:numRef>
              <c:f>'ITI2'!$E$3:$E$21</c:f>
              <c:numCache>
                <c:formatCode>General</c:formatCode>
                <c:ptCount val="19"/>
                <c:pt idx="9" formatCode="0.00">
                  <c:v>9</c:v>
                </c:pt>
                <c:pt idx="10" formatCode="0.00">
                  <c:v>48.703723434238476</c:v>
                </c:pt>
                <c:pt idx="11" formatCode="0.00">
                  <c:v>40.270985155150186</c:v>
                </c:pt>
                <c:pt idx="12" formatCode="0.00">
                  <c:v>62.128725979172401</c:v>
                </c:pt>
                <c:pt idx="13" formatCode="0.00">
                  <c:v>51.787042582923988</c:v>
                </c:pt>
                <c:pt idx="14" formatCode="0.00">
                  <c:v>62.243490937890485</c:v>
                </c:pt>
                <c:pt idx="15" formatCode="0.00">
                  <c:v>53.815772404303388</c:v>
                </c:pt>
                <c:pt idx="16" formatCode="0.00">
                  <c:v>75.678493136222059</c:v>
                </c:pt>
                <c:pt idx="17" formatCode="0.00">
                  <c:v>65.341750196647752</c:v>
                </c:pt>
                <c:pt idx="18" formatCode="0.00">
                  <c:v>75.803095219236624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48-490F-93AB-80856B6F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692639"/>
        <c:axId val="429693471"/>
      </c:lineChart>
      <c:catAx>
        <c:axId val="42969263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693471"/>
        <c:crosses val="autoZero"/>
        <c:auto val="1"/>
        <c:lblAlgn val="ctr"/>
        <c:lblOffset val="100"/>
        <c:noMultiLvlLbl val="0"/>
      </c:catAx>
      <c:valAx>
        <c:axId val="4296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6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'Eco1'!$B$2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'Eco1'!$B$3:$B$22</c:f>
              <c:numCache>
                <c:formatCode>General</c:formatCode>
                <c:ptCount val="20"/>
                <c:pt idx="0">
                  <c:v>75</c:v>
                </c:pt>
                <c:pt idx="1">
                  <c:v>84</c:v>
                </c:pt>
                <c:pt idx="2">
                  <c:v>73</c:v>
                </c:pt>
                <c:pt idx="3">
                  <c:v>76</c:v>
                </c:pt>
                <c:pt idx="4">
                  <c:v>105</c:v>
                </c:pt>
                <c:pt idx="5">
                  <c:v>73</c:v>
                </c:pt>
                <c:pt idx="6">
                  <c:v>87</c:v>
                </c:pt>
                <c:pt idx="7">
                  <c:v>85</c:v>
                </c:pt>
                <c:pt idx="8">
                  <c:v>75</c:v>
                </c:pt>
                <c:pt idx="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C-4CF1-8A70-B92FF8871102}"/>
            </c:ext>
          </c:extLst>
        </c:ser>
        <c:ser>
          <c:idx val="1"/>
          <c:order val="1"/>
          <c:tx>
            <c:strRef>
              <c:f>'Eco1'!$C$2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'Eco1'!$A$3:$A$22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'Eco1'!$C$3:$C$22</c:f>
              <c:numCache>
                <c:formatCode>General</c:formatCode>
                <c:ptCount val="20"/>
                <c:pt idx="9">
                  <c:v>44</c:v>
                </c:pt>
                <c:pt idx="10" formatCode="0">
                  <c:v>56.862559156523822</c:v>
                </c:pt>
                <c:pt idx="11" formatCode="0">
                  <c:v>53.670444318658546</c:v>
                </c:pt>
                <c:pt idx="12" formatCode="0">
                  <c:v>82.292214300842289</c:v>
                </c:pt>
                <c:pt idx="13" formatCode="0">
                  <c:v>53.196253892912267</c:v>
                </c:pt>
                <c:pt idx="14" formatCode="0">
                  <c:v>56.28348324981539</c:v>
                </c:pt>
                <c:pt idx="15" formatCode="0">
                  <c:v>53.091368411950114</c:v>
                </c:pt>
                <c:pt idx="16" formatCode="0">
                  <c:v>81.713138394133864</c:v>
                </c:pt>
                <c:pt idx="17" formatCode="0">
                  <c:v>52.617177986203842</c:v>
                </c:pt>
                <c:pt idx="18" formatCode="0">
                  <c:v>55.704407343106965</c:v>
                </c:pt>
                <c:pt idx="19" formatCode="0">
                  <c:v>52.512292505241682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C-4CF1-8A70-B92FF8871102}"/>
            </c:ext>
          </c:extLst>
        </c:ser>
        <c:ser>
          <c:idx val="2"/>
          <c:order val="2"/>
          <c:tx>
            <c:strRef>
              <c:f>'Eco1'!$D$2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'Eco1'!$A$3:$A$22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'Eco1'!$D$3:$D$22</c:f>
              <c:numCache>
                <c:formatCode>General</c:formatCode>
                <c:ptCount val="20"/>
                <c:pt idx="9" formatCode="0.00">
                  <c:v>44</c:v>
                </c:pt>
                <c:pt idx="10" formatCode="0.00">
                  <c:v>20.847021641221396</c:v>
                </c:pt>
                <c:pt idx="11" formatCode="0.00">
                  <c:v>13.371584477392595</c:v>
                </c:pt>
                <c:pt idx="12" formatCode="0.00">
                  <c:v>38.10872336776788</c:v>
                </c:pt>
                <c:pt idx="13" formatCode="0.00">
                  <c:v>5.4294261111215647</c:v>
                </c:pt>
                <c:pt idx="14" formatCode="0.00">
                  <c:v>5.1583526201405334</c:v>
                </c:pt>
                <c:pt idx="15" formatCode="0.00">
                  <c:v>-1.1846679896459875</c:v>
                </c:pt>
                <c:pt idx="16" formatCode="0.00">
                  <c:v>24.44786746556651</c:v>
                </c:pt>
                <c:pt idx="17" formatCode="0.00">
                  <c:v>-7.4997992939597893</c:v>
                </c:pt>
                <c:pt idx="18" formatCode="0.00">
                  <c:v>-7.1560062273760252</c:v>
                </c:pt>
                <c:pt idx="19" formatCode="0.00">
                  <c:v>-12.976731240731318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FC-4CF1-8A70-B92FF8871102}"/>
            </c:ext>
          </c:extLst>
        </c:ser>
        <c:ser>
          <c:idx val="3"/>
          <c:order val="3"/>
          <c:tx>
            <c:strRef>
              <c:f>'Eco1'!$E$2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'Eco1'!$A$3:$A$22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'Eco1'!$E$3:$E$22</c:f>
              <c:numCache>
                <c:formatCode>General</c:formatCode>
                <c:ptCount val="20"/>
                <c:pt idx="9" formatCode="0.00">
                  <c:v>44</c:v>
                </c:pt>
                <c:pt idx="10" formatCode="0.00">
                  <c:v>92.878096671826256</c:v>
                </c:pt>
                <c:pt idx="11" formatCode="0.00">
                  <c:v>93.969304159924491</c:v>
                </c:pt>
                <c:pt idx="12" formatCode="0.00">
                  <c:v>126.4757052339167</c:v>
                </c:pt>
                <c:pt idx="13" formatCode="0.00">
                  <c:v>100.96308167470298</c:v>
                </c:pt>
                <c:pt idx="14" formatCode="0.00">
                  <c:v>107.40861387949025</c:v>
                </c:pt>
                <c:pt idx="15" formatCode="0.00">
                  <c:v>107.36740481354622</c:v>
                </c:pt>
                <c:pt idx="16" formatCode="0.00">
                  <c:v>138.97840932270122</c:v>
                </c:pt>
                <c:pt idx="17" formatCode="0.00">
                  <c:v>112.73415526636748</c:v>
                </c:pt>
                <c:pt idx="18" formatCode="0.00">
                  <c:v>118.56482091358995</c:v>
                </c:pt>
                <c:pt idx="19" formatCode="0.00">
                  <c:v>118.00131625121469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FC-4CF1-8A70-B92FF8871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781391"/>
        <c:axId val="544787631"/>
      </c:lineChart>
      <c:catAx>
        <c:axId val="54478139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87631"/>
        <c:crosses val="autoZero"/>
        <c:auto val="1"/>
        <c:lblAlgn val="ctr"/>
        <c:lblOffset val="100"/>
        <c:noMultiLvlLbl val="0"/>
      </c:catAx>
      <c:valAx>
        <c:axId val="5447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8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SP!$B$2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SP!$B$3:$B$22</c:f>
              <c:numCache>
                <c:formatCode>General</c:formatCode>
                <c:ptCount val="20"/>
                <c:pt idx="0">
                  <c:v>48</c:v>
                </c:pt>
                <c:pt idx="1">
                  <c:v>24</c:v>
                </c:pt>
                <c:pt idx="2">
                  <c:v>33</c:v>
                </c:pt>
                <c:pt idx="3">
                  <c:v>33</c:v>
                </c:pt>
                <c:pt idx="4">
                  <c:v>23</c:v>
                </c:pt>
                <c:pt idx="5">
                  <c:v>29</c:v>
                </c:pt>
                <c:pt idx="6">
                  <c:v>54</c:v>
                </c:pt>
                <c:pt idx="7">
                  <c:v>47</c:v>
                </c:pt>
                <c:pt idx="8">
                  <c:v>22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A-4C8E-AFA0-98C0F5A231BB}"/>
            </c:ext>
          </c:extLst>
        </c:ser>
        <c:ser>
          <c:idx val="1"/>
          <c:order val="1"/>
          <c:tx>
            <c:strRef>
              <c:f>SP!$C$2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SP!$C$3:$C$22</c:f>
              <c:numCache>
                <c:formatCode>General</c:formatCode>
                <c:ptCount val="20"/>
                <c:pt idx="9">
                  <c:v>40</c:v>
                </c:pt>
                <c:pt idx="10" formatCode="0">
                  <c:v>27.230996595917954</c:v>
                </c:pt>
                <c:pt idx="11" formatCode="0">
                  <c:v>34.738066936309252</c:v>
                </c:pt>
                <c:pt idx="12" formatCode="0">
                  <c:v>45.879633370968406</c:v>
                </c:pt>
                <c:pt idx="13" formatCode="0">
                  <c:v>28.108308875146395</c:v>
                </c:pt>
                <c:pt idx="14" formatCode="0">
                  <c:v>35.6153792155377</c:v>
                </c:pt>
                <c:pt idx="15" formatCode="0">
                  <c:v>46.756945650196855</c:v>
                </c:pt>
                <c:pt idx="16" formatCode="0">
                  <c:v>28.985621154374837</c:v>
                </c:pt>
                <c:pt idx="17" formatCode="0">
                  <c:v>36.492691494766142</c:v>
                </c:pt>
                <c:pt idx="18" formatCode="0">
                  <c:v>47.634257929425303</c:v>
                </c:pt>
                <c:pt idx="19" formatCode="0">
                  <c:v>29.862933433603285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A-4C8E-AFA0-98C0F5A231BB}"/>
            </c:ext>
          </c:extLst>
        </c:ser>
        <c:ser>
          <c:idx val="2"/>
          <c:order val="2"/>
          <c:tx>
            <c:strRef>
              <c:f>SP!$D$2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SP!$A$3:$A$22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SP!$D$3:$D$22</c:f>
              <c:numCache>
                <c:formatCode>General</c:formatCode>
                <c:ptCount val="20"/>
                <c:pt idx="9" formatCode="0.00">
                  <c:v>40</c:v>
                </c:pt>
                <c:pt idx="10" formatCode="0.00">
                  <c:v>6.4386823859968167</c:v>
                </c:pt>
                <c:pt idx="11" formatCode="0.00">
                  <c:v>13.295716308326114</c:v>
                </c:pt>
                <c:pt idx="12" formatCode="0.00">
                  <c:v>23.801436151326527</c:v>
                </c:pt>
                <c:pt idx="13" formatCode="0.00">
                  <c:v>5.4023972673530771</c:v>
                </c:pt>
                <c:pt idx="14" formatCode="0.00">
                  <c:v>12.298645923490888</c:v>
                </c:pt>
                <c:pt idx="15" formatCode="0.00">
                  <c:v>22.840369879976336</c:v>
                </c:pt>
                <c:pt idx="16" formatCode="0.00">
                  <c:v>4.474816046577903</c:v>
                </c:pt>
                <c:pt idx="17" formatCode="0.00">
                  <c:v>11.401726238480979</c:v>
                </c:pt>
                <c:pt idx="18" formatCode="0.00">
                  <c:v>21.971892146775225</c:v>
                </c:pt>
                <c:pt idx="19" formatCode="0.00">
                  <c:v>3.6330437888418636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FA-4C8E-AFA0-98C0F5A231BB}"/>
            </c:ext>
          </c:extLst>
        </c:ser>
        <c:ser>
          <c:idx val="3"/>
          <c:order val="3"/>
          <c:tx>
            <c:strRef>
              <c:f>SP!$E$2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SP!$A$3:$A$22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SP!$E$3:$E$22</c:f>
              <c:numCache>
                <c:formatCode>General</c:formatCode>
                <c:ptCount val="20"/>
                <c:pt idx="9" formatCode="0.00">
                  <c:v>40</c:v>
                </c:pt>
                <c:pt idx="10" formatCode="0.00">
                  <c:v>48.023310805839088</c:v>
                </c:pt>
                <c:pt idx="11" formatCode="0.00">
                  <c:v>56.180417564292391</c:v>
                </c:pt>
                <c:pt idx="12" formatCode="0.00">
                  <c:v>67.957830590610286</c:v>
                </c:pt>
                <c:pt idx="13" formatCode="0.00">
                  <c:v>50.814220482939717</c:v>
                </c:pt>
                <c:pt idx="14" formatCode="0.00">
                  <c:v>58.932112507584513</c:v>
                </c:pt>
                <c:pt idx="15" formatCode="0.00">
                  <c:v>70.673521420417373</c:v>
                </c:pt>
                <c:pt idx="16" formatCode="0.00">
                  <c:v>53.496426262171767</c:v>
                </c:pt>
                <c:pt idx="17" formatCode="0.00">
                  <c:v>61.583656751051308</c:v>
                </c:pt>
                <c:pt idx="18" formatCode="0.00">
                  <c:v>73.296623712075387</c:v>
                </c:pt>
                <c:pt idx="19" formatCode="0.00">
                  <c:v>56.092823078364702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FA-4C8E-AFA0-98C0F5A23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775983"/>
        <c:axId val="544783471"/>
      </c:lineChart>
      <c:catAx>
        <c:axId val="54477598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83471"/>
        <c:crosses val="autoZero"/>
        <c:auto val="1"/>
        <c:lblAlgn val="ctr"/>
        <c:lblOffset val="100"/>
        <c:noMultiLvlLbl val="0"/>
      </c:catAx>
      <c:valAx>
        <c:axId val="5447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7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EE!$B$2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EE!$B$3:$B$21</c:f>
              <c:numCache>
                <c:formatCode>General</c:formatCode>
                <c:ptCount val="19"/>
                <c:pt idx="0">
                  <c:v>9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11</c:v>
                </c:pt>
                <c:pt idx="6">
                  <c:v>3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8C-420A-A4DC-17E5C14BA9BE}"/>
            </c:ext>
          </c:extLst>
        </c:ser>
        <c:ser>
          <c:idx val="1"/>
          <c:order val="1"/>
          <c:tx>
            <c:strRef>
              <c:f>EE!$C$2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EE!$A$3:$A$21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EE!$C$3:$C$21</c:f>
              <c:numCache>
                <c:formatCode>General</c:formatCode>
                <c:ptCount val="19"/>
                <c:pt idx="8">
                  <c:v>7</c:v>
                </c:pt>
                <c:pt idx="9" formatCode="0">
                  <c:v>5.4663630296746968</c:v>
                </c:pt>
                <c:pt idx="10" formatCode="0">
                  <c:v>5.1911254642967197</c:v>
                </c:pt>
                <c:pt idx="11" formatCode="0">
                  <c:v>4.9158878989187453</c:v>
                </c:pt>
                <c:pt idx="12" formatCode="0">
                  <c:v>4.6406503335407683</c:v>
                </c:pt>
                <c:pt idx="13" formatCode="0">
                  <c:v>4.3654127681627939</c:v>
                </c:pt>
                <c:pt idx="14" formatCode="0">
                  <c:v>4.0901752027848159</c:v>
                </c:pt>
                <c:pt idx="15" formatCode="0">
                  <c:v>3.814937637406842</c:v>
                </c:pt>
                <c:pt idx="16" formatCode="0">
                  <c:v>3.5397000720288645</c:v>
                </c:pt>
                <c:pt idx="17" formatCode="0">
                  <c:v>3.2644625066508905</c:v>
                </c:pt>
                <c:pt idx="18" formatCode="0">
                  <c:v>2.989224941272913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8C-420A-A4DC-17E5C14BA9BE}"/>
            </c:ext>
          </c:extLst>
        </c:ser>
        <c:ser>
          <c:idx val="2"/>
          <c:order val="2"/>
          <c:tx>
            <c:strRef>
              <c:f>EE!$D$2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EE!$A$3:$A$21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EE!$D$3:$D$21</c:f>
              <c:numCache>
                <c:formatCode>General</c:formatCode>
                <c:ptCount val="19"/>
                <c:pt idx="8" formatCode="0.00">
                  <c:v>7</c:v>
                </c:pt>
                <c:pt idx="9" formatCode="0.00">
                  <c:v>8.3614648418990356E-2</c:v>
                </c:pt>
                <c:pt idx="10" formatCode="0.00">
                  <c:v>-0.23485845214857637</c:v>
                </c:pt>
                <c:pt idx="11" formatCode="0.00">
                  <c:v>-0.55366520458704294</c:v>
                </c:pt>
                <c:pt idx="12" formatCode="0.00">
                  <c:v>-0.87280295414667641</c:v>
                </c:pt>
                <c:pt idx="13" formatCode="0.00">
                  <c:v>-1.1922690705005525</c:v>
                </c:pt>
                <c:pt idx="14" formatCode="0.00">
                  <c:v>-1.5120609483356242</c:v>
                </c:pt>
                <c:pt idx="15" formatCode="0.00">
                  <c:v>-1.832176007882127</c:v>
                </c:pt>
                <c:pt idx="16" formatCode="0.00">
                  <c:v>-2.1526116953845298</c:v>
                </c:pt>
                <c:pt idx="17" formatCode="0.00">
                  <c:v>-2.473365483516941</c:v>
                </c:pt>
                <c:pt idx="18" formatCode="0.00">
                  <c:v>-2.794434871746037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8C-420A-A4DC-17E5C14BA9BE}"/>
            </c:ext>
          </c:extLst>
        </c:ser>
        <c:ser>
          <c:idx val="3"/>
          <c:order val="3"/>
          <c:tx>
            <c:strRef>
              <c:f>EE!$E$2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EE!$A$3:$A$21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EE!$E$3:$E$21</c:f>
              <c:numCache>
                <c:formatCode>General</c:formatCode>
                <c:ptCount val="19"/>
                <c:pt idx="8" formatCode="0.00">
                  <c:v>7</c:v>
                </c:pt>
                <c:pt idx="9" formatCode="0.00">
                  <c:v>10.849111410930403</c:v>
                </c:pt>
                <c:pt idx="10" formatCode="0.00">
                  <c:v>10.617109380742015</c:v>
                </c:pt>
                <c:pt idx="11" formatCode="0.00">
                  <c:v>10.385441002424534</c:v>
                </c:pt>
                <c:pt idx="12" formatCode="0.00">
                  <c:v>10.154103621228213</c:v>
                </c:pt>
                <c:pt idx="13" formatCode="0.00">
                  <c:v>9.9230946068261403</c:v>
                </c:pt>
                <c:pt idx="14" formatCode="0.00">
                  <c:v>9.692411353905257</c:v>
                </c:pt>
                <c:pt idx="15" formatCode="0.00">
                  <c:v>9.4620512826958105</c:v>
                </c:pt>
                <c:pt idx="16" formatCode="0.00">
                  <c:v>9.2320118394422579</c:v>
                </c:pt>
                <c:pt idx="17" formatCode="0.00">
                  <c:v>9.0022904968187216</c:v>
                </c:pt>
                <c:pt idx="18" formatCode="0.00">
                  <c:v>8.7728847542918622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8C-420A-A4DC-17E5C14B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798031"/>
        <c:axId val="544790543"/>
      </c:lineChart>
      <c:catAx>
        <c:axId val="54479803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90543"/>
        <c:crosses val="autoZero"/>
        <c:auto val="1"/>
        <c:lblAlgn val="ctr"/>
        <c:lblOffset val="100"/>
        <c:noMultiLvlLbl val="0"/>
      </c:catAx>
      <c:valAx>
        <c:axId val="5447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9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CE!$B$2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CE!$B$3:$B$21</c:f>
              <c:numCache>
                <c:formatCode>General</c:formatCode>
                <c:ptCount val="19"/>
                <c:pt idx="0">
                  <c:v>36</c:v>
                </c:pt>
                <c:pt idx="1">
                  <c:v>60</c:v>
                </c:pt>
                <c:pt idx="2">
                  <c:v>40</c:v>
                </c:pt>
                <c:pt idx="3">
                  <c:v>56</c:v>
                </c:pt>
                <c:pt idx="4">
                  <c:v>20</c:v>
                </c:pt>
                <c:pt idx="5">
                  <c:v>36</c:v>
                </c:pt>
                <c:pt idx="6">
                  <c:v>48</c:v>
                </c:pt>
                <c:pt idx="7">
                  <c:v>49</c:v>
                </c:pt>
                <c:pt idx="8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F-4E02-B61C-63C0D1807AAF}"/>
            </c:ext>
          </c:extLst>
        </c:ser>
        <c:ser>
          <c:idx val="1"/>
          <c:order val="1"/>
          <c:tx>
            <c:strRef>
              <c:f>CE!$C$2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CE!$A$3:$A$21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CE!$C$3:$C$21</c:f>
              <c:numCache>
                <c:formatCode>General</c:formatCode>
                <c:ptCount val="19"/>
                <c:pt idx="8">
                  <c:v>36</c:v>
                </c:pt>
                <c:pt idx="9" formatCode="0">
                  <c:v>36.85841888719542</c:v>
                </c:pt>
                <c:pt idx="10" formatCode="0">
                  <c:v>36.290354084722608</c:v>
                </c:pt>
                <c:pt idx="11" formatCode="0">
                  <c:v>35.722289282249818</c:v>
                </c:pt>
                <c:pt idx="12" formatCode="0">
                  <c:v>35.154224479777</c:v>
                </c:pt>
                <c:pt idx="13" formatCode="0">
                  <c:v>34.586159677304209</c:v>
                </c:pt>
                <c:pt idx="14" formatCode="0">
                  <c:v>34.018094874831398</c:v>
                </c:pt>
                <c:pt idx="15" formatCode="0">
                  <c:v>33.450030072358608</c:v>
                </c:pt>
                <c:pt idx="16" formatCode="0">
                  <c:v>32.881965269885789</c:v>
                </c:pt>
                <c:pt idx="17" formatCode="0">
                  <c:v>32.313900467412999</c:v>
                </c:pt>
                <c:pt idx="18" formatCode="0">
                  <c:v>31.745835664940188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F-4E02-B61C-63C0D1807AAF}"/>
            </c:ext>
          </c:extLst>
        </c:ser>
        <c:ser>
          <c:idx val="2"/>
          <c:order val="2"/>
          <c:tx>
            <c:strRef>
              <c:f>CE!$D$2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CE!$A$3:$A$21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CE!$D$3:$D$21</c:f>
              <c:numCache>
                <c:formatCode>General</c:formatCode>
                <c:ptCount val="19"/>
                <c:pt idx="8" formatCode="0.00">
                  <c:v>36</c:v>
                </c:pt>
                <c:pt idx="9" formatCode="0.00">
                  <c:v>10.473710423182439</c:v>
                </c:pt>
                <c:pt idx="10" formatCode="0.00">
                  <c:v>9.6937172691568527</c:v>
                </c:pt>
                <c:pt idx="11" formatCode="0.00">
                  <c:v>8.9120886481321406</c:v>
                </c:pt>
                <c:pt idx="12" formatCode="0.00">
                  <c:v>8.1288375729397977</c:v>
                </c:pt>
                <c:pt idx="13" formatCode="0.00">
                  <c:v>7.3439769366976648</c:v>
                </c:pt>
                <c:pt idx="14" formatCode="0.00">
                  <c:v>6.5575195099125985</c:v>
                </c:pt>
                <c:pt idx="15" formatCode="0.00">
                  <c:v>5.7694779378855436</c:v>
                </c:pt>
                <c:pt idx="16" formatCode="0.00">
                  <c:v>4.9798647384030161</c:v>
                </c:pt>
                <c:pt idx="17" formatCode="0.00">
                  <c:v>4.1886922997009535</c:v>
                </c:pt>
                <c:pt idx="18" formatCode="0.00">
                  <c:v>3.3959728786856829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4F-4E02-B61C-63C0D1807AAF}"/>
            </c:ext>
          </c:extLst>
        </c:ser>
        <c:ser>
          <c:idx val="3"/>
          <c:order val="3"/>
          <c:tx>
            <c:strRef>
              <c:f>CE!$E$2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CE!$A$3:$A$21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CE!$E$3:$E$21</c:f>
              <c:numCache>
                <c:formatCode>General</c:formatCode>
                <c:ptCount val="19"/>
                <c:pt idx="8" formatCode="0.00">
                  <c:v>36</c:v>
                </c:pt>
                <c:pt idx="9" formatCode="0.00">
                  <c:v>63.2431273512084</c:v>
                </c:pt>
                <c:pt idx="10" formatCode="0.00">
                  <c:v>62.886990900288367</c:v>
                </c:pt>
                <c:pt idx="11" formatCode="0.00">
                  <c:v>62.532489916367496</c:v>
                </c:pt>
                <c:pt idx="12" formatCode="0.00">
                  <c:v>62.179611386614198</c:v>
                </c:pt>
                <c:pt idx="13" formatCode="0.00">
                  <c:v>61.828342417910754</c:v>
                </c:pt>
                <c:pt idx="14" formatCode="0.00">
                  <c:v>61.478670239750201</c:v>
                </c:pt>
                <c:pt idx="15" formatCode="0.00">
                  <c:v>61.130582206831676</c:v>
                </c:pt>
                <c:pt idx="16" formatCode="0.00">
                  <c:v>60.784065801368563</c:v>
                </c:pt>
                <c:pt idx="17" formatCode="0.00">
                  <c:v>60.439108635125045</c:v>
                </c:pt>
                <c:pt idx="18" formatCode="0.00">
                  <c:v>60.095698451194693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4F-4E02-B61C-63C0D1807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06351"/>
        <c:axId val="544802607"/>
      </c:lineChart>
      <c:catAx>
        <c:axId val="5448063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02607"/>
        <c:crosses val="autoZero"/>
        <c:auto val="1"/>
        <c:lblAlgn val="ctr"/>
        <c:lblOffset val="100"/>
        <c:noMultiLvlLbl val="0"/>
      </c:catAx>
      <c:valAx>
        <c:axId val="54480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0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BA!$B$3:$B$22</c:f>
              <c:numCache>
                <c:formatCode>General</c:formatCode>
                <c:ptCount val="20"/>
                <c:pt idx="0">
                  <c:v>120</c:v>
                </c:pt>
                <c:pt idx="1">
                  <c:v>64</c:v>
                </c:pt>
                <c:pt idx="2">
                  <c:v>82</c:v>
                </c:pt>
                <c:pt idx="3">
                  <c:v>75</c:v>
                </c:pt>
                <c:pt idx="4">
                  <c:v>61</c:v>
                </c:pt>
                <c:pt idx="5">
                  <c:v>56</c:v>
                </c:pt>
                <c:pt idx="6">
                  <c:v>116</c:v>
                </c:pt>
                <c:pt idx="7">
                  <c:v>98</c:v>
                </c:pt>
                <c:pt idx="8">
                  <c:v>99</c:v>
                </c:pt>
                <c:pt idx="9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3-4824-A533-84A10CA2C405}"/>
            </c:ext>
          </c:extLst>
        </c:ser>
        <c:ser>
          <c:idx val="1"/>
          <c:order val="1"/>
          <c:tx>
            <c:strRef>
              <c:f>BA!$C$2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BA!$C$3:$C$22</c:f>
              <c:numCache>
                <c:formatCode>General</c:formatCode>
                <c:ptCount val="20"/>
                <c:pt idx="9" formatCode="0">
                  <c:v>72</c:v>
                </c:pt>
                <c:pt idx="10" formatCode="0">
                  <c:v>121.12568153963019</c:v>
                </c:pt>
                <c:pt idx="11" formatCode="0">
                  <c:v>109.60939667750054</c:v>
                </c:pt>
                <c:pt idx="12" formatCode="0">
                  <c:v>101.313261324064</c:v>
                </c:pt>
                <c:pt idx="13" formatCode="0">
                  <c:v>84.066014183129013</c:v>
                </c:pt>
                <c:pt idx="14" formatCode="0">
                  <c:v>133.17870854032932</c:v>
                </c:pt>
                <c:pt idx="15" formatCode="0">
                  <c:v>121.66242367819966</c:v>
                </c:pt>
                <c:pt idx="16" formatCode="0">
                  <c:v>113.36628832476313</c:v>
                </c:pt>
                <c:pt idx="17" formatCode="0">
                  <c:v>96.119041183828131</c:v>
                </c:pt>
                <c:pt idx="18" formatCode="0">
                  <c:v>145.23173554102846</c:v>
                </c:pt>
                <c:pt idx="19" formatCode="0">
                  <c:v>133.71545067889878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C3-4824-A533-84A10CA2C405}"/>
            </c:ext>
          </c:extLst>
        </c:ser>
        <c:ser>
          <c:idx val="2"/>
          <c:order val="2"/>
          <c:tx>
            <c:strRef>
              <c:f>BA!$D$2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BA!$A$3:$A$22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BA!$D$3:$D$22</c:f>
              <c:numCache>
                <c:formatCode>General</c:formatCode>
                <c:ptCount val="20"/>
                <c:pt idx="9" formatCode="0.00">
                  <c:v>72</c:v>
                </c:pt>
                <c:pt idx="10" formatCode="0.00">
                  <c:v>76.28740007433754</c:v>
                </c:pt>
                <c:pt idx="11" formatCode="0.00">
                  <c:v>53.534630403913752</c:v>
                </c:pt>
                <c:pt idx="12" formatCode="0.00">
                  <c:v>35.881548224409016</c:v>
                </c:pt>
                <c:pt idx="13" formatCode="0.00">
                  <c:v>10.436777427215929</c:v>
                </c:pt>
                <c:pt idx="14" formatCode="0.00">
                  <c:v>46.901151127227763</c:v>
                </c:pt>
                <c:pt idx="15" formatCode="0.00">
                  <c:v>28.981055964554997</c:v>
                </c:pt>
                <c:pt idx="16" formatCode="0.00">
                  <c:v>14.680459799153297</c:v>
                </c:pt>
                <c:pt idx="17" formatCode="0.00">
                  <c:v>-8.2408717408996495</c:v>
                </c:pt>
                <c:pt idx="18" formatCode="0.00">
                  <c:v>31.522861550002688</c:v>
                </c:pt>
                <c:pt idx="19" formatCode="0.00">
                  <c:v>15.022980624057183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C3-4824-A533-84A10CA2C405}"/>
            </c:ext>
          </c:extLst>
        </c:ser>
        <c:ser>
          <c:idx val="3"/>
          <c:order val="3"/>
          <c:tx>
            <c:strRef>
              <c:f>BA!$E$2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BA!$A$3:$A$22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BA!$E$3:$E$22</c:f>
              <c:numCache>
                <c:formatCode>General</c:formatCode>
                <c:ptCount val="20"/>
                <c:pt idx="9" formatCode="0.00">
                  <c:v>72</c:v>
                </c:pt>
                <c:pt idx="10" formatCode="0.00">
                  <c:v>165.96396300492285</c:v>
                </c:pt>
                <c:pt idx="11" formatCode="0.00">
                  <c:v>165.68416295108733</c:v>
                </c:pt>
                <c:pt idx="12" formatCode="0.00">
                  <c:v>166.74497442371899</c:v>
                </c:pt>
                <c:pt idx="13" formatCode="0.00">
                  <c:v>157.6952509390421</c:v>
                </c:pt>
                <c:pt idx="14" formatCode="0.00">
                  <c:v>219.45626595343089</c:v>
                </c:pt>
                <c:pt idx="15" formatCode="0.00">
                  <c:v>214.34379139184432</c:v>
                </c:pt>
                <c:pt idx="16" formatCode="0.00">
                  <c:v>212.05211685037295</c:v>
                </c:pt>
                <c:pt idx="17" formatCode="0.00">
                  <c:v>200.47895410855591</c:v>
                </c:pt>
                <c:pt idx="18" formatCode="0.00">
                  <c:v>258.94060953205422</c:v>
                </c:pt>
                <c:pt idx="19" formatCode="0.00">
                  <c:v>252.40792073374035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C3-4824-A533-84A10CA2C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790127"/>
        <c:axId val="544798447"/>
      </c:lineChart>
      <c:catAx>
        <c:axId val="54479012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98447"/>
        <c:crosses val="autoZero"/>
        <c:auto val="1"/>
        <c:lblAlgn val="ctr"/>
        <c:lblOffset val="100"/>
        <c:noMultiLvlLbl val="0"/>
      </c:catAx>
      <c:valAx>
        <c:axId val="5447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9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BF!$B$2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BF!$B$3:$B$22</c:f>
              <c:numCache>
                <c:formatCode>General</c:formatCode>
                <c:ptCount val="20"/>
                <c:pt idx="0">
                  <c:v>161</c:v>
                </c:pt>
                <c:pt idx="1">
                  <c:v>214</c:v>
                </c:pt>
                <c:pt idx="2">
                  <c:v>202</c:v>
                </c:pt>
                <c:pt idx="3">
                  <c:v>121</c:v>
                </c:pt>
                <c:pt idx="4">
                  <c:v>160</c:v>
                </c:pt>
                <c:pt idx="5">
                  <c:v>116</c:v>
                </c:pt>
                <c:pt idx="6">
                  <c:v>120</c:v>
                </c:pt>
                <c:pt idx="7">
                  <c:v>100</c:v>
                </c:pt>
                <c:pt idx="8">
                  <c:v>117</c:v>
                </c:pt>
                <c:pt idx="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5-4813-A7E1-895FC1D1F823}"/>
            </c:ext>
          </c:extLst>
        </c:ser>
        <c:ser>
          <c:idx val="1"/>
          <c:order val="1"/>
          <c:tx>
            <c:strRef>
              <c:f>BF!$C$2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BF!$A$3:$A$22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BF!$C$3:$C$22</c:f>
              <c:numCache>
                <c:formatCode>General</c:formatCode>
                <c:ptCount val="20"/>
                <c:pt idx="9" formatCode="0">
                  <c:v>96</c:v>
                </c:pt>
                <c:pt idx="10" formatCode="0">
                  <c:v>82.35796438675294</c:v>
                </c:pt>
                <c:pt idx="11" formatCode="0">
                  <c:v>78.900096382478608</c:v>
                </c:pt>
                <c:pt idx="12" formatCode="0">
                  <c:v>49.538964361389219</c:v>
                </c:pt>
                <c:pt idx="13" formatCode="0">
                  <c:v>48.371046182343697</c:v>
                </c:pt>
                <c:pt idx="14" formatCode="0">
                  <c:v>44.913178178069373</c:v>
                </c:pt>
                <c:pt idx="15" formatCode="0">
                  <c:v>15.552046156979973</c:v>
                </c:pt>
                <c:pt idx="16" formatCode="0">
                  <c:v>14.384127977934451</c:v>
                </c:pt>
                <c:pt idx="17" formatCode="0">
                  <c:v>10.926259973660127</c:v>
                </c:pt>
                <c:pt idx="18" formatCode="0">
                  <c:v>-18.434872047429263</c:v>
                </c:pt>
                <c:pt idx="19" formatCode="0">
                  <c:v>-19.602790226474784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5-4813-A7E1-895FC1D1F823}"/>
            </c:ext>
          </c:extLst>
        </c:ser>
        <c:ser>
          <c:idx val="2"/>
          <c:order val="2"/>
          <c:tx>
            <c:strRef>
              <c:f>BF!$D$2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BF!$A$3:$A$22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BF!$D$3:$D$22</c:f>
              <c:numCache>
                <c:formatCode>General</c:formatCode>
                <c:ptCount val="20"/>
                <c:pt idx="9" formatCode="0.00">
                  <c:v>96</c:v>
                </c:pt>
                <c:pt idx="10" formatCode="0.00">
                  <c:v>34.507551263617792</c:v>
                </c:pt>
                <c:pt idx="11" formatCode="0.00">
                  <c:v>31.049467932968888</c:v>
                </c:pt>
                <c:pt idx="12" formatCode="0.00">
                  <c:v>1.6879531118282998</c:v>
                </c:pt>
                <c:pt idx="13" formatCode="0.00">
                  <c:v>-5.2352998818160685</c:v>
                </c:pt>
                <c:pt idx="14" formatCode="0.00">
                  <c:v>-8.6939367059061965</c:v>
                </c:pt>
                <c:pt idx="15" formatCode="0.00">
                  <c:v>-38.056115158471997</c:v>
                </c:pt>
                <c:pt idx="16" formatCode="0.00">
                  <c:v>-44.477695841039619</c:v>
                </c:pt>
                <c:pt idx="17" formatCode="0.00">
                  <c:v>-47.937139230946315</c:v>
                </c:pt>
                <c:pt idx="18" formatCode="0.00">
                  <c:v>-77.300216114413786</c:v>
                </c:pt>
                <c:pt idx="19" formatCode="0.00">
                  <c:v>-83.344515749409211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95-4813-A7E1-895FC1D1F823}"/>
            </c:ext>
          </c:extLst>
        </c:ser>
        <c:ser>
          <c:idx val="3"/>
          <c:order val="3"/>
          <c:tx>
            <c:strRef>
              <c:f>BF!$E$2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BF!$A$3:$A$22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BF!$E$3:$E$22</c:f>
              <c:numCache>
                <c:formatCode>General</c:formatCode>
                <c:ptCount val="20"/>
                <c:pt idx="9" formatCode="0.00">
                  <c:v>96</c:v>
                </c:pt>
                <c:pt idx="10" formatCode="0.00">
                  <c:v>130.20837750988809</c:v>
                </c:pt>
                <c:pt idx="11" formatCode="0.00">
                  <c:v>126.75072483198832</c:v>
                </c:pt>
                <c:pt idx="12" formatCode="0.00">
                  <c:v>97.389975610950131</c:v>
                </c:pt>
                <c:pt idx="13" formatCode="0.00">
                  <c:v>101.97739224650346</c:v>
                </c:pt>
                <c:pt idx="14" formatCode="0.00">
                  <c:v>98.520293062044942</c:v>
                </c:pt>
                <c:pt idx="15" formatCode="0.00">
                  <c:v>69.160207472431949</c:v>
                </c:pt>
                <c:pt idx="16" formatCode="0.00">
                  <c:v>73.245951796908514</c:v>
                </c:pt>
                <c:pt idx="17" formatCode="0.00">
                  <c:v>69.789659178266575</c:v>
                </c:pt>
                <c:pt idx="18" formatCode="0.00">
                  <c:v>40.430472019555253</c:v>
                </c:pt>
                <c:pt idx="19" formatCode="0.00">
                  <c:v>44.13893529645965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95-4813-A7E1-895FC1D1F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797615"/>
        <c:axId val="544775567"/>
      </c:lineChart>
      <c:catAx>
        <c:axId val="54479761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75567"/>
        <c:crosses val="autoZero"/>
        <c:auto val="1"/>
        <c:lblAlgn val="ctr"/>
        <c:lblOffset val="100"/>
        <c:noMultiLvlLbl val="0"/>
      </c:catAx>
      <c:valAx>
        <c:axId val="54477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9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PL!$B$3:$B$22</c:f>
              <c:numCache>
                <c:formatCode>General</c:formatCode>
                <c:ptCount val="20"/>
                <c:pt idx="0">
                  <c:v>11</c:v>
                </c:pt>
                <c:pt idx="1">
                  <c:v>20</c:v>
                </c:pt>
                <c:pt idx="2">
                  <c:v>28</c:v>
                </c:pt>
                <c:pt idx="3">
                  <c:v>33</c:v>
                </c:pt>
                <c:pt idx="4">
                  <c:v>35</c:v>
                </c:pt>
                <c:pt idx="5">
                  <c:v>44</c:v>
                </c:pt>
                <c:pt idx="6">
                  <c:v>42</c:v>
                </c:pt>
                <c:pt idx="7">
                  <c:v>48</c:v>
                </c:pt>
                <c:pt idx="8">
                  <c:v>40</c:v>
                </c:pt>
                <c:pt idx="9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8-4FD2-958E-04E1742244E3}"/>
            </c:ext>
          </c:extLst>
        </c:ser>
        <c:ser>
          <c:idx val="1"/>
          <c:order val="1"/>
          <c:tx>
            <c:strRef>
              <c:f>PL!$C$2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PL!$C$3:$C$22</c:f>
              <c:numCache>
                <c:formatCode>General</c:formatCode>
                <c:ptCount val="20"/>
                <c:pt idx="9">
                  <c:v>39</c:v>
                </c:pt>
                <c:pt idx="10">
                  <c:v>42.2</c:v>
                </c:pt>
                <c:pt idx="11">
                  <c:v>45.4</c:v>
                </c:pt>
                <c:pt idx="12">
                  <c:v>48.6</c:v>
                </c:pt>
                <c:pt idx="13">
                  <c:v>51.8</c:v>
                </c:pt>
                <c:pt idx="14">
                  <c:v>55</c:v>
                </c:pt>
                <c:pt idx="15">
                  <c:v>58.2</c:v>
                </c:pt>
                <c:pt idx="16">
                  <c:v>61.400000000000006</c:v>
                </c:pt>
                <c:pt idx="17">
                  <c:v>64.599999999999994</c:v>
                </c:pt>
                <c:pt idx="18">
                  <c:v>67.8</c:v>
                </c:pt>
                <c:pt idx="1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8-4FD2-958E-04E1742244E3}"/>
            </c:ext>
          </c:extLst>
        </c:ser>
        <c:ser>
          <c:idx val="2"/>
          <c:order val="2"/>
          <c:tx>
            <c:strRef>
              <c:f>PL!$D$2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PL!$D$3:$D$22</c:f>
              <c:numCache>
                <c:formatCode>General</c:formatCode>
                <c:ptCount val="20"/>
                <c:pt idx="9" formatCode="0.00">
                  <c:v>39</c:v>
                </c:pt>
                <c:pt idx="10" formatCode="0.00">
                  <c:v>32.300276603745253</c:v>
                </c:pt>
                <c:pt idx="11" formatCode="0.00">
                  <c:v>34.327341932454161</c:v>
                </c:pt>
                <c:pt idx="12" formatCode="0.00">
                  <c:v>36.463225775515383</c:v>
                </c:pt>
                <c:pt idx="13" formatCode="0.00">
                  <c:v>38.681413375771768</c:v>
                </c:pt>
                <c:pt idx="14" formatCode="0.00">
                  <c:v>40.964615003013606</c:v>
                </c:pt>
                <c:pt idx="15" formatCode="0.00">
                  <c:v>43.30081762062381</c:v>
                </c:pt>
                <c:pt idx="16" formatCode="0.00">
                  <c:v>45.68127480654757</c:v>
                </c:pt>
                <c:pt idx="17" formatCode="0.00">
                  <c:v>48.099385271367495</c:v>
                </c:pt>
                <c:pt idx="18" formatCode="0.00">
                  <c:v>50.550022442639992</c:v>
                </c:pt>
                <c:pt idx="19" formatCode="0.00">
                  <c:v>53.029111439989883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08-4FD2-958E-04E1742244E3}"/>
            </c:ext>
          </c:extLst>
        </c:ser>
        <c:ser>
          <c:idx val="3"/>
          <c:order val="3"/>
          <c:tx>
            <c:strRef>
              <c:f>PL!$E$2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PL!$E$3:$E$22</c:f>
              <c:numCache>
                <c:formatCode>General</c:formatCode>
                <c:ptCount val="20"/>
                <c:pt idx="9" formatCode="0.00">
                  <c:v>39</c:v>
                </c:pt>
                <c:pt idx="10" formatCode="0.00">
                  <c:v>52.099723396254753</c:v>
                </c:pt>
                <c:pt idx="11" formatCode="0.00">
                  <c:v>56.472658067545837</c:v>
                </c:pt>
                <c:pt idx="12" formatCode="0.00">
                  <c:v>60.73677422448462</c:v>
                </c:pt>
                <c:pt idx="13" formatCode="0.00">
                  <c:v>64.918586624228226</c:v>
                </c:pt>
                <c:pt idx="14" formatCode="0.00">
                  <c:v>69.035384996986394</c:v>
                </c:pt>
                <c:pt idx="15" formatCode="0.00">
                  <c:v>73.099182379376188</c:v>
                </c:pt>
                <c:pt idx="16" formatCode="0.00">
                  <c:v>77.118725193452434</c:v>
                </c:pt>
                <c:pt idx="17" formatCode="0.00">
                  <c:v>81.100614728632493</c:v>
                </c:pt>
                <c:pt idx="18" formatCode="0.00">
                  <c:v>85.049977557359995</c:v>
                </c:pt>
                <c:pt idx="19" formatCode="0.00">
                  <c:v>88.97088856001011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08-4FD2-958E-04E174224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06767"/>
        <c:axId val="544807183"/>
      </c:lineChart>
      <c:catAx>
        <c:axId val="5448067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07183"/>
        <c:crosses val="autoZero"/>
        <c:auto val="1"/>
        <c:lblAlgn val="ctr"/>
        <c:lblOffset val="100"/>
        <c:noMultiLvlLbl val="0"/>
      </c:catAx>
      <c:valAx>
        <c:axId val="54480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0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MBBS!$B$2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MBBS!$B$3:$B$22</c:f>
              <c:numCache>
                <c:formatCode>General</c:formatCode>
                <c:ptCount val="20"/>
                <c:pt idx="0">
                  <c:v>112</c:v>
                </c:pt>
                <c:pt idx="1">
                  <c:v>73</c:v>
                </c:pt>
                <c:pt idx="2">
                  <c:v>76</c:v>
                </c:pt>
                <c:pt idx="3">
                  <c:v>53</c:v>
                </c:pt>
                <c:pt idx="4">
                  <c:v>51</c:v>
                </c:pt>
                <c:pt idx="5">
                  <c:v>29</c:v>
                </c:pt>
                <c:pt idx="6">
                  <c:v>71</c:v>
                </c:pt>
                <c:pt idx="7">
                  <c:v>71</c:v>
                </c:pt>
                <c:pt idx="8">
                  <c:v>74</c:v>
                </c:pt>
                <c:pt idx="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FC-4074-8498-F0674ACEB8EC}"/>
            </c:ext>
          </c:extLst>
        </c:ser>
        <c:ser>
          <c:idx val="1"/>
          <c:order val="1"/>
          <c:tx>
            <c:strRef>
              <c:f>MBBS!$C$2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MBBS!$A$3:$A$22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MBBS!$C$3:$C$22</c:f>
              <c:numCache>
                <c:formatCode>General</c:formatCode>
                <c:ptCount val="20"/>
                <c:pt idx="9">
                  <c:v>32</c:v>
                </c:pt>
                <c:pt idx="10" formatCode="0">
                  <c:v>66.790795052574111</c:v>
                </c:pt>
                <c:pt idx="11" formatCode="0">
                  <c:v>52.315615990965469</c:v>
                </c:pt>
                <c:pt idx="12" formatCode="0">
                  <c:v>49.504176608750434</c:v>
                </c:pt>
                <c:pt idx="13" formatCode="0">
                  <c:v>25.613325654018784</c:v>
                </c:pt>
                <c:pt idx="14" formatCode="0">
                  <c:v>60.379985497387793</c:v>
                </c:pt>
                <c:pt idx="15" formatCode="0">
                  <c:v>45.904806435779165</c:v>
                </c:pt>
                <c:pt idx="16" formatCode="0">
                  <c:v>43.093367053564123</c:v>
                </c:pt>
                <c:pt idx="17" formatCode="0">
                  <c:v>19.202516098832472</c:v>
                </c:pt>
                <c:pt idx="18" formatCode="0">
                  <c:v>53.969175942201481</c:v>
                </c:pt>
                <c:pt idx="19" formatCode="0">
                  <c:v>39.493996880592846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FC-4074-8498-F0674ACEB8EC}"/>
            </c:ext>
          </c:extLst>
        </c:ser>
        <c:ser>
          <c:idx val="2"/>
          <c:order val="2"/>
          <c:tx>
            <c:strRef>
              <c:f>MBBS!$D$2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MBBS!$A$3:$A$22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MBBS!$D$3:$D$22</c:f>
              <c:numCache>
                <c:formatCode>General</c:formatCode>
                <c:ptCount val="20"/>
                <c:pt idx="9" formatCode="0.00">
                  <c:v>32</c:v>
                </c:pt>
                <c:pt idx="10" formatCode="0.00">
                  <c:v>31.498245598717112</c:v>
                </c:pt>
                <c:pt idx="11" formatCode="0.00">
                  <c:v>8.1787446134148283</c:v>
                </c:pt>
                <c:pt idx="12" formatCode="0.00">
                  <c:v>-1.99761817363094</c:v>
                </c:pt>
                <c:pt idx="13" formatCode="0.00">
                  <c:v>-32.34080181336067</c:v>
                </c:pt>
                <c:pt idx="14" formatCode="0.00">
                  <c:v>-7.5297305365962472</c:v>
                </c:pt>
                <c:pt idx="15" formatCode="0.00">
                  <c:v>-27.045396975045534</c:v>
                </c:pt>
                <c:pt idx="16" formatCode="0.00">
                  <c:v>-34.582992740262441</c:v>
                </c:pt>
                <c:pt idx="17" formatCode="0.00">
                  <c:v>-62.93995831217083</c:v>
                </c:pt>
                <c:pt idx="18" formatCode="0.00">
                  <c:v>-35.531936221899137</c:v>
                </c:pt>
                <c:pt idx="19" formatCode="0.00">
                  <c:v>-53.929741325195167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C-4074-8498-F0674ACEB8EC}"/>
            </c:ext>
          </c:extLst>
        </c:ser>
        <c:ser>
          <c:idx val="3"/>
          <c:order val="3"/>
          <c:tx>
            <c:strRef>
              <c:f>MBBS!$E$2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MBBS!$A$3:$A$22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MBBS!$E$3:$E$22</c:f>
              <c:numCache>
                <c:formatCode>General</c:formatCode>
                <c:ptCount val="20"/>
                <c:pt idx="9" formatCode="0.00">
                  <c:v>32</c:v>
                </c:pt>
                <c:pt idx="10" formatCode="0.00">
                  <c:v>102.0833445064311</c:v>
                </c:pt>
                <c:pt idx="11" formatCode="0.00">
                  <c:v>96.452487368516103</c:v>
                </c:pt>
                <c:pt idx="12" formatCode="0.00">
                  <c:v>101.00597139113181</c:v>
                </c:pt>
                <c:pt idx="13" formatCode="0.00">
                  <c:v>83.567453121398245</c:v>
                </c:pt>
                <c:pt idx="14" formatCode="0.00">
                  <c:v>128.28970153137183</c:v>
                </c:pt>
                <c:pt idx="15" formatCode="0.00">
                  <c:v>118.85500984660386</c:v>
                </c:pt>
                <c:pt idx="16" formatCode="0.00">
                  <c:v>120.76972684739069</c:v>
                </c:pt>
                <c:pt idx="17" formatCode="0.00">
                  <c:v>101.34499050983578</c:v>
                </c:pt>
                <c:pt idx="18" formatCode="0.00">
                  <c:v>143.47028810630209</c:v>
                </c:pt>
                <c:pt idx="19" formatCode="0.00">
                  <c:v>132.91773508638084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FC-4074-8498-F0674ACEB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442847"/>
        <c:axId val="424437439"/>
      </c:lineChart>
      <c:catAx>
        <c:axId val="42444284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37439"/>
        <c:crosses val="autoZero"/>
        <c:auto val="1"/>
        <c:lblAlgn val="ctr"/>
        <c:lblOffset val="100"/>
        <c:noMultiLvlLbl val="0"/>
      </c:catAx>
      <c:valAx>
        <c:axId val="42443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4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MBL!$B$2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MBL!$B$3:$B$20</c:f>
              <c:numCache>
                <c:formatCode>General</c:formatCode>
                <c:ptCount val="18"/>
                <c:pt idx="0">
                  <c:v>19</c:v>
                </c:pt>
                <c:pt idx="1">
                  <c:v>20</c:v>
                </c:pt>
                <c:pt idx="2">
                  <c:v>30</c:v>
                </c:pt>
                <c:pt idx="3">
                  <c:v>24</c:v>
                </c:pt>
                <c:pt idx="4">
                  <c:v>32</c:v>
                </c:pt>
                <c:pt idx="5">
                  <c:v>62</c:v>
                </c:pt>
                <c:pt idx="6">
                  <c:v>33</c:v>
                </c:pt>
                <c:pt idx="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F-4271-811F-BDF1062B1E75}"/>
            </c:ext>
          </c:extLst>
        </c:ser>
        <c:ser>
          <c:idx val="1"/>
          <c:order val="1"/>
          <c:tx>
            <c:strRef>
              <c:f>MBL!$C$2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MBL!$A$3:$A$20</c:f>
              <c:numCache>
                <c:formatCode>General</c:formatCode>
                <c:ptCount val="1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</c:numCache>
            </c:numRef>
          </c:cat>
          <c:val>
            <c:numRef>
              <c:f>MBL!$C$3:$C$20</c:f>
              <c:numCache>
                <c:formatCode>General</c:formatCode>
                <c:ptCount val="18"/>
                <c:pt idx="7">
                  <c:v>18</c:v>
                </c:pt>
                <c:pt idx="8" formatCode="0">
                  <c:v>41.013371079522138</c:v>
                </c:pt>
                <c:pt idx="9" formatCode="0">
                  <c:v>56.134459954014353</c:v>
                </c:pt>
                <c:pt idx="10" formatCode="0">
                  <c:v>46.255447988410253</c:v>
                </c:pt>
                <c:pt idx="11" formatCode="0">
                  <c:v>44.857410525469383</c:v>
                </c:pt>
                <c:pt idx="12" formatCode="0">
                  <c:v>52.495743842102371</c:v>
                </c:pt>
                <c:pt idx="13" formatCode="0">
                  <c:v>67.616832716594587</c:v>
                </c:pt>
                <c:pt idx="14" formatCode="0">
                  <c:v>57.737820750990494</c:v>
                </c:pt>
                <c:pt idx="15" formatCode="0">
                  <c:v>56.339783288049617</c:v>
                </c:pt>
                <c:pt idx="16" formatCode="0">
                  <c:v>63.978116604682612</c:v>
                </c:pt>
                <c:pt idx="17" formatCode="0">
                  <c:v>79.099205479174827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F-4271-811F-BDF1062B1E75}"/>
            </c:ext>
          </c:extLst>
        </c:ser>
        <c:ser>
          <c:idx val="2"/>
          <c:order val="2"/>
          <c:tx>
            <c:strRef>
              <c:f>MBL!$D$2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MBL!$A$3:$A$20</c:f>
              <c:numCache>
                <c:formatCode>General</c:formatCode>
                <c:ptCount val="1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</c:numCache>
            </c:numRef>
          </c:cat>
          <c:val>
            <c:numRef>
              <c:f>MBL!$D$3:$D$20</c:f>
              <c:numCache>
                <c:formatCode>General</c:formatCode>
                <c:ptCount val="18"/>
                <c:pt idx="7" formatCode="0.00">
                  <c:v>18</c:v>
                </c:pt>
                <c:pt idx="8" formatCode="0.00">
                  <c:v>20.51474329677367</c:v>
                </c:pt>
                <c:pt idx="9" formatCode="0.00">
                  <c:v>35.471182241515208</c:v>
                </c:pt>
                <c:pt idx="10" formatCode="0.00">
                  <c:v>25.426249730291698</c:v>
                </c:pt>
                <c:pt idx="11" formatCode="0.00">
                  <c:v>23.861031215703015</c:v>
                </c:pt>
                <c:pt idx="12" formatCode="0.00">
                  <c:v>31.32834227959431</c:v>
                </c:pt>
                <c:pt idx="13" formatCode="0.00">
                  <c:v>46.279779646937754</c:v>
                </c:pt>
                <c:pt idx="14" formatCode="0.00">
                  <c:v>36.229885251735524</c:v>
                </c:pt>
                <c:pt idx="15" formatCode="0.00">
                  <c:v>34.659744161603584</c:v>
                </c:pt>
                <c:pt idx="16" formatCode="0.00">
                  <c:v>42.122176280516456</c:v>
                </c:pt>
                <c:pt idx="17" formatCode="0.00">
                  <c:v>57.068768389030794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0F-4271-811F-BDF1062B1E75}"/>
            </c:ext>
          </c:extLst>
        </c:ser>
        <c:ser>
          <c:idx val="3"/>
          <c:order val="3"/>
          <c:tx>
            <c:strRef>
              <c:f>MBL!$E$2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MBL!$A$3:$A$20</c:f>
              <c:numCache>
                <c:formatCode>General</c:formatCode>
                <c:ptCount val="1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</c:numCache>
            </c:numRef>
          </c:cat>
          <c:val>
            <c:numRef>
              <c:f>MBL!$E$3:$E$20</c:f>
              <c:numCache>
                <c:formatCode>General</c:formatCode>
                <c:ptCount val="18"/>
                <c:pt idx="7" formatCode="0.00">
                  <c:v>18</c:v>
                </c:pt>
                <c:pt idx="8" formatCode="0.00">
                  <c:v>61.511998862270602</c:v>
                </c:pt>
                <c:pt idx="9" formatCode="0.00">
                  <c:v>76.797737666513498</c:v>
                </c:pt>
                <c:pt idx="10" formatCode="0.00">
                  <c:v>67.084646246528806</c:v>
                </c:pt>
                <c:pt idx="11" formatCode="0.00">
                  <c:v>65.853789835235744</c:v>
                </c:pt>
                <c:pt idx="12" formatCode="0.00">
                  <c:v>73.663145404610432</c:v>
                </c:pt>
                <c:pt idx="13" formatCode="0.00">
                  <c:v>88.953885786251419</c:v>
                </c:pt>
                <c:pt idx="14" formatCode="0.00">
                  <c:v>79.245756250245464</c:v>
                </c:pt>
                <c:pt idx="15" formatCode="0.00">
                  <c:v>78.01982241449565</c:v>
                </c:pt>
                <c:pt idx="16" formatCode="0.00">
                  <c:v>85.834056928848767</c:v>
                </c:pt>
                <c:pt idx="17" formatCode="0.00">
                  <c:v>101.12964256931886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0F-4271-811F-BDF1062B1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05519"/>
        <c:axId val="544776815"/>
      </c:lineChart>
      <c:catAx>
        <c:axId val="54480551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76815"/>
        <c:crosses val="autoZero"/>
        <c:auto val="1"/>
        <c:lblAlgn val="ctr"/>
        <c:lblOffset val="100"/>
        <c:noMultiLvlLbl val="0"/>
      </c:catAx>
      <c:valAx>
        <c:axId val="5447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0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Nursing!$B$2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Nursing!$B$3:$B$21</c:f>
              <c:numCache>
                <c:formatCode>General</c:formatCode>
                <c:ptCount val="19"/>
                <c:pt idx="0">
                  <c:v>9</c:v>
                </c:pt>
                <c:pt idx="1">
                  <c:v>6</c:v>
                </c:pt>
                <c:pt idx="2">
                  <c:v>16</c:v>
                </c:pt>
                <c:pt idx="3">
                  <c:v>7</c:v>
                </c:pt>
                <c:pt idx="4">
                  <c:v>24</c:v>
                </c:pt>
                <c:pt idx="5">
                  <c:v>35</c:v>
                </c:pt>
                <c:pt idx="6">
                  <c:v>27</c:v>
                </c:pt>
                <c:pt idx="7">
                  <c:v>35</c:v>
                </c:pt>
                <c:pt idx="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1C-4C71-A010-362CCD6500E6}"/>
            </c:ext>
          </c:extLst>
        </c:ser>
        <c:ser>
          <c:idx val="1"/>
          <c:order val="1"/>
          <c:tx>
            <c:strRef>
              <c:f>Nursing!$C$2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Nursing!$A$3:$A$21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Nursing!$C$3:$C$21</c:f>
              <c:numCache>
                <c:formatCode>General</c:formatCode>
                <c:ptCount val="19"/>
                <c:pt idx="8">
                  <c:v>23</c:v>
                </c:pt>
                <c:pt idx="9" formatCode="0">
                  <c:v>39.869648234979465</c:v>
                </c:pt>
                <c:pt idx="10" formatCode="0">
                  <c:v>35.302245523401801</c:v>
                </c:pt>
                <c:pt idx="11" formatCode="0">
                  <c:v>46.318533297848482</c:v>
                </c:pt>
                <c:pt idx="12" formatCode="0">
                  <c:v>41.751130586270818</c:v>
                </c:pt>
                <c:pt idx="13" formatCode="0">
                  <c:v>52.7674183607175</c:v>
                </c:pt>
                <c:pt idx="14" formatCode="0">
                  <c:v>48.200015649139829</c:v>
                </c:pt>
                <c:pt idx="15" formatCode="0">
                  <c:v>59.216303423586517</c:v>
                </c:pt>
                <c:pt idx="16" formatCode="0">
                  <c:v>54.648900712008853</c:v>
                </c:pt>
                <c:pt idx="17" formatCode="0">
                  <c:v>65.665188486455534</c:v>
                </c:pt>
                <c:pt idx="18" formatCode="0">
                  <c:v>61.097785774877863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C-4C71-A010-362CCD6500E6}"/>
            </c:ext>
          </c:extLst>
        </c:ser>
        <c:ser>
          <c:idx val="2"/>
          <c:order val="2"/>
          <c:tx>
            <c:strRef>
              <c:f>Nursing!$D$2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Nursing!$A$3:$A$21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Nursing!$D$3:$D$21</c:f>
              <c:numCache>
                <c:formatCode>General</c:formatCode>
                <c:ptCount val="19"/>
                <c:pt idx="8" formatCode="0.00">
                  <c:v>23</c:v>
                </c:pt>
                <c:pt idx="9" formatCode="0.00">
                  <c:v>24.48181856716111</c:v>
                </c:pt>
                <c:pt idx="10" formatCode="0.00">
                  <c:v>19.914346610505742</c:v>
                </c:pt>
                <c:pt idx="11" formatCode="0.00">
                  <c:v>29.08674035000557</c:v>
                </c:pt>
                <c:pt idx="12" formatCode="0.00">
                  <c:v>24.519165874437292</c:v>
                </c:pt>
                <c:pt idx="13" formatCode="0.00">
                  <c:v>33.857998237839425</c:v>
                </c:pt>
                <c:pt idx="14" formatCode="0.00">
                  <c:v>29.290288737751109</c:v>
                </c:pt>
                <c:pt idx="15" formatCode="0.00">
                  <c:v>38.754545580987717</c:v>
                </c:pt>
                <c:pt idx="16" formatCode="0.00">
                  <c:v>34.18667420513512</c:v>
                </c:pt>
                <c:pt idx="17" formatCode="0.00">
                  <c:v>43.749655852291689</c:v>
                </c:pt>
                <c:pt idx="18" formatCode="0.00">
                  <c:v>39.181599481167261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C-4C71-A010-362CCD6500E6}"/>
            </c:ext>
          </c:extLst>
        </c:ser>
        <c:ser>
          <c:idx val="3"/>
          <c:order val="3"/>
          <c:tx>
            <c:strRef>
              <c:f>Nursing!$E$2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Nursing!$A$3:$A$21</c:f>
              <c:numCache>
                <c:formatCode>General</c:formatCode>
                <c:ptCount val="1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</c:numCache>
            </c:numRef>
          </c:cat>
          <c:val>
            <c:numRef>
              <c:f>Nursing!$E$3:$E$21</c:f>
              <c:numCache>
                <c:formatCode>General</c:formatCode>
                <c:ptCount val="19"/>
                <c:pt idx="8" formatCode="0.00">
                  <c:v>23</c:v>
                </c:pt>
                <c:pt idx="9" formatCode="0.00">
                  <c:v>55.257477902797817</c:v>
                </c:pt>
                <c:pt idx="10" formatCode="0.00">
                  <c:v>50.690144436297857</c:v>
                </c:pt>
                <c:pt idx="11" formatCode="0.00">
                  <c:v>63.550326245691394</c:v>
                </c:pt>
                <c:pt idx="12" formatCode="0.00">
                  <c:v>58.983095298104345</c:v>
                </c:pt>
                <c:pt idx="13" formatCode="0.00">
                  <c:v>71.676838483595574</c:v>
                </c:pt>
                <c:pt idx="14" formatCode="0.00">
                  <c:v>67.109742560528545</c:v>
                </c:pt>
                <c:pt idx="15" formatCode="0.00">
                  <c:v>79.678061266185324</c:v>
                </c:pt>
                <c:pt idx="16" formatCode="0.00">
                  <c:v>75.111127218882586</c:v>
                </c:pt>
                <c:pt idx="17" formatCode="0.00">
                  <c:v>87.580721120619387</c:v>
                </c:pt>
                <c:pt idx="18" formatCode="0.00">
                  <c:v>83.013972068588458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1C-4C71-A010-362CCD650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119055"/>
        <c:axId val="572124463"/>
      </c:lineChart>
      <c:catAx>
        <c:axId val="57211905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24463"/>
        <c:crosses val="autoZero"/>
        <c:auto val="1"/>
        <c:lblAlgn val="ctr"/>
        <c:lblOffset val="100"/>
        <c:noMultiLvlLbl val="0"/>
      </c:catAx>
      <c:valAx>
        <c:axId val="5721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1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BHealth!$B$2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BHealth!$B$3:$B$19</c:f>
              <c:numCache>
                <c:formatCode>General</c:formatCode>
                <c:ptCount val="17"/>
                <c:pt idx="0">
                  <c:v>10</c:v>
                </c:pt>
                <c:pt idx="1">
                  <c:v>27</c:v>
                </c:pt>
                <c:pt idx="2">
                  <c:v>18</c:v>
                </c:pt>
                <c:pt idx="3">
                  <c:v>24</c:v>
                </c:pt>
                <c:pt idx="4">
                  <c:v>29</c:v>
                </c:pt>
                <c:pt idx="5">
                  <c:v>29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4-4610-A757-F31CD901206F}"/>
            </c:ext>
          </c:extLst>
        </c:ser>
        <c:ser>
          <c:idx val="1"/>
          <c:order val="1"/>
          <c:tx>
            <c:strRef>
              <c:f>BHealth!$C$2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BHealth!$A$3:$A$19</c:f>
              <c:numCache>
                <c:formatCode>General</c:formatCode>
                <c:ptCount val="1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</c:numCache>
            </c:numRef>
          </c:cat>
          <c:val>
            <c:numRef>
              <c:f>BHealth!$C$3:$C$19</c:f>
              <c:numCache>
                <c:formatCode>General</c:formatCode>
                <c:ptCount val="17"/>
                <c:pt idx="6">
                  <c:v>16</c:v>
                </c:pt>
                <c:pt idx="7" formatCode="0">
                  <c:v>23.886846919792841</c:v>
                </c:pt>
                <c:pt idx="8" formatCode="0">
                  <c:v>25.076482189926637</c:v>
                </c:pt>
                <c:pt idx="9" formatCode="0">
                  <c:v>26.26611746006045</c:v>
                </c:pt>
                <c:pt idx="10" formatCode="0">
                  <c:v>27.455752730194249</c:v>
                </c:pt>
                <c:pt idx="11" formatCode="0">
                  <c:v>28.645388000328058</c:v>
                </c:pt>
                <c:pt idx="12" formatCode="0">
                  <c:v>29.835023270461857</c:v>
                </c:pt>
                <c:pt idx="13" formatCode="0">
                  <c:v>31.02465854059567</c:v>
                </c:pt>
                <c:pt idx="14" formatCode="0">
                  <c:v>32.214293810729473</c:v>
                </c:pt>
                <c:pt idx="15" formatCode="0">
                  <c:v>33.403929080863279</c:v>
                </c:pt>
                <c:pt idx="16" formatCode="0">
                  <c:v>34.593564350997084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4-4610-A757-F31CD901206F}"/>
            </c:ext>
          </c:extLst>
        </c:ser>
        <c:ser>
          <c:idx val="2"/>
          <c:order val="2"/>
          <c:tx>
            <c:strRef>
              <c:f>BHealth!$D$2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BHealth!$A$3:$A$19</c:f>
              <c:numCache>
                <c:formatCode>General</c:formatCode>
                <c:ptCount val="1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</c:numCache>
            </c:numRef>
          </c:cat>
          <c:val>
            <c:numRef>
              <c:f>BHealth!$D$3:$D$19</c:f>
              <c:numCache>
                <c:formatCode>General</c:formatCode>
                <c:ptCount val="17"/>
                <c:pt idx="6" formatCode="0.00">
                  <c:v>16</c:v>
                </c:pt>
                <c:pt idx="7" formatCode="0.00">
                  <c:v>7.6099175737999047</c:v>
                </c:pt>
                <c:pt idx="8" formatCode="0.00">
                  <c:v>6.8710368634475039</c:v>
                </c:pt>
                <c:pt idx="9" formatCode="0.00">
                  <c:v>6.3110734014617051</c:v>
                </c:pt>
                <c:pt idx="10" formatCode="0.00">
                  <c:v>5.8864321487087885</c:v>
                </c:pt>
                <c:pt idx="11" formatCode="0.00">
                  <c:v>5.5686856728484067</c:v>
                </c:pt>
                <c:pt idx="12" formatCode="0.00">
                  <c:v>5.3380823767479697</c:v>
                </c:pt>
                <c:pt idx="13" formatCode="0.00">
                  <c:v>5.180241566309487</c:v>
                </c:pt>
                <c:pt idx="14" formatCode="0.00">
                  <c:v>5.0843095320767802</c:v>
                </c:pt>
                <c:pt idx="15" formatCode="0.00">
                  <c:v>5.0418572650653175</c:v>
                </c:pt>
                <c:pt idx="16" formatCode="0.00">
                  <c:v>5.0461849275821216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24-4610-A757-F31CD901206F}"/>
            </c:ext>
          </c:extLst>
        </c:ser>
        <c:ser>
          <c:idx val="3"/>
          <c:order val="3"/>
          <c:tx>
            <c:strRef>
              <c:f>BHealth!$E$2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BHealth!$A$3:$A$19</c:f>
              <c:numCache>
                <c:formatCode>General</c:formatCode>
                <c:ptCount val="1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</c:numCache>
            </c:numRef>
          </c:cat>
          <c:val>
            <c:numRef>
              <c:f>BHealth!$E$3:$E$19</c:f>
              <c:numCache>
                <c:formatCode>General</c:formatCode>
                <c:ptCount val="17"/>
                <c:pt idx="6" formatCode="0.00">
                  <c:v>16</c:v>
                </c:pt>
                <c:pt idx="7" formatCode="0.00">
                  <c:v>40.163776265785778</c:v>
                </c:pt>
                <c:pt idx="8" formatCode="0.00">
                  <c:v>43.281927516405773</c:v>
                </c:pt>
                <c:pt idx="9" formatCode="0.00">
                  <c:v>46.221161518659194</c:v>
                </c:pt>
                <c:pt idx="10" formatCode="0.00">
                  <c:v>49.025073311679705</c:v>
                </c:pt>
                <c:pt idx="11" formatCode="0.00">
                  <c:v>51.722090327807706</c:v>
                </c:pt>
                <c:pt idx="12" formatCode="0.00">
                  <c:v>54.331964164175744</c:v>
                </c:pt>
                <c:pt idx="13" formatCode="0.00">
                  <c:v>56.869075514881857</c:v>
                </c:pt>
                <c:pt idx="14" formatCode="0.00">
                  <c:v>59.344278089382165</c:v>
                </c:pt>
                <c:pt idx="15" formatCode="0.00">
                  <c:v>61.766000896661239</c:v>
                </c:pt>
                <c:pt idx="16" formatCode="0.00">
                  <c:v>64.140943774412051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4-4610-A757-F31CD901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123631"/>
        <c:axId val="572124879"/>
      </c:lineChart>
      <c:catAx>
        <c:axId val="57212363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24879"/>
        <c:crosses val="autoZero"/>
        <c:auto val="1"/>
        <c:lblAlgn val="ctr"/>
        <c:lblOffset val="100"/>
        <c:noMultiLvlLbl val="0"/>
      </c:catAx>
      <c:valAx>
        <c:axId val="5721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2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Pscience!$B$2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Pscience!$B$3:$B$22</c:f>
              <c:numCache>
                <c:formatCode>General</c:formatCode>
                <c:ptCount val="20"/>
                <c:pt idx="0">
                  <c:v>6</c:v>
                </c:pt>
                <c:pt idx="1">
                  <c:v>31</c:v>
                </c:pt>
                <c:pt idx="2">
                  <c:v>33</c:v>
                </c:pt>
                <c:pt idx="3">
                  <c:v>18</c:v>
                </c:pt>
                <c:pt idx="4">
                  <c:v>24</c:v>
                </c:pt>
                <c:pt idx="5">
                  <c:v>19</c:v>
                </c:pt>
                <c:pt idx="6">
                  <c:v>29</c:v>
                </c:pt>
                <c:pt idx="7">
                  <c:v>43</c:v>
                </c:pt>
                <c:pt idx="8">
                  <c:v>45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F-46B3-A404-7CAC597A4A00}"/>
            </c:ext>
          </c:extLst>
        </c:ser>
        <c:ser>
          <c:idx val="1"/>
          <c:order val="1"/>
          <c:tx>
            <c:strRef>
              <c:f>Pscience!$C$2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Pscience!$A$3:$A$22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Pscience!$C$3:$C$22</c:f>
              <c:numCache>
                <c:formatCode>General</c:formatCode>
                <c:ptCount val="20"/>
                <c:pt idx="9" formatCode="0">
                  <c:v>35</c:v>
                </c:pt>
                <c:pt idx="10" formatCode="0">
                  <c:v>42.477623135940902</c:v>
                </c:pt>
                <c:pt idx="11" formatCode="0">
                  <c:v>45.164900972537637</c:v>
                </c:pt>
                <c:pt idx="12" formatCode="0">
                  <c:v>47.852178809134365</c:v>
                </c:pt>
                <c:pt idx="13" formatCode="0">
                  <c:v>50.5394566457311</c:v>
                </c:pt>
                <c:pt idx="14" formatCode="0">
                  <c:v>53.226734482327828</c:v>
                </c:pt>
                <c:pt idx="15" formatCode="0">
                  <c:v>55.914012318924563</c:v>
                </c:pt>
                <c:pt idx="16" formatCode="0">
                  <c:v>58.601290155521291</c:v>
                </c:pt>
                <c:pt idx="17" formatCode="0">
                  <c:v>61.288567992118018</c:v>
                </c:pt>
                <c:pt idx="18" formatCode="0">
                  <c:v>63.975845828714753</c:v>
                </c:pt>
                <c:pt idx="19" formatCode="0">
                  <c:v>66.663123665311488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F-46B3-A404-7CAC597A4A00}"/>
            </c:ext>
          </c:extLst>
        </c:ser>
        <c:ser>
          <c:idx val="2"/>
          <c:order val="2"/>
          <c:tx>
            <c:strRef>
              <c:f>Pscience!$D$2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Pscience!$A$3:$A$22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Pscience!$D$3:$D$22</c:f>
              <c:numCache>
                <c:formatCode>General</c:formatCode>
                <c:ptCount val="20"/>
                <c:pt idx="9" formatCode="0.00">
                  <c:v>35</c:v>
                </c:pt>
                <c:pt idx="10" formatCode="0.00">
                  <c:v>21.732328933534401</c:v>
                </c:pt>
                <c:pt idx="11" formatCode="0.00">
                  <c:v>23.776100223105011</c:v>
                </c:pt>
                <c:pt idx="12" formatCode="0.00">
                  <c:v>25.833758380526746</c:v>
                </c:pt>
                <c:pt idx="13" formatCode="0.00">
                  <c:v>27.904125539364426</c:v>
                </c:pt>
                <c:pt idx="14" formatCode="0.00">
                  <c:v>29.986171094036884</c:v>
                </c:pt>
                <c:pt idx="15" formatCode="0.00">
                  <c:v>32.078987338103921</c:v>
                </c:pt>
                <c:pt idx="16" formatCode="0.00">
                  <c:v>34.181770038966214</c:v>
                </c:pt>
                <c:pt idx="17" formatCode="0.00">
                  <c:v>36.293802780195861</c:v>
                </c:pt>
                <c:pt idx="18" formatCode="0.00">
                  <c:v>38.4144442161342</c:v>
                </c:pt>
                <c:pt idx="19" formatCode="0.00">
                  <c:v>40.543117603695315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AF-46B3-A404-7CAC597A4A00}"/>
            </c:ext>
          </c:extLst>
        </c:ser>
        <c:ser>
          <c:idx val="3"/>
          <c:order val="3"/>
          <c:tx>
            <c:strRef>
              <c:f>Pscience!$E$2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Pscience!$A$3:$A$22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Pscience!$E$3:$E$22</c:f>
              <c:numCache>
                <c:formatCode>General</c:formatCode>
                <c:ptCount val="20"/>
                <c:pt idx="9" formatCode="0.00">
                  <c:v>35</c:v>
                </c:pt>
                <c:pt idx="10" formatCode="0.00">
                  <c:v>63.222917338347401</c:v>
                </c:pt>
                <c:pt idx="11" formatCode="0.00">
                  <c:v>66.55370172197027</c:v>
                </c:pt>
                <c:pt idx="12" formatCode="0.00">
                  <c:v>69.870599237741985</c:v>
                </c:pt>
                <c:pt idx="13" formatCode="0.00">
                  <c:v>73.174787752097771</c:v>
                </c:pt>
                <c:pt idx="14" formatCode="0.00">
                  <c:v>76.467297870618779</c:v>
                </c:pt>
                <c:pt idx="15" formatCode="0.00">
                  <c:v>79.749037299745197</c:v>
                </c:pt>
                <c:pt idx="16" formatCode="0.00">
                  <c:v>83.020810272076375</c:v>
                </c:pt>
                <c:pt idx="17" formatCode="0.00">
                  <c:v>86.283333204040176</c:v>
                </c:pt>
                <c:pt idx="18" formatCode="0.00">
                  <c:v>89.537247441295307</c:v>
                </c:pt>
                <c:pt idx="19" formatCode="0.00">
                  <c:v>92.783129726927655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AF-46B3-A404-7CAC597A4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788463"/>
        <c:axId val="544801359"/>
      </c:lineChart>
      <c:catAx>
        <c:axId val="5447884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01359"/>
        <c:crosses val="autoZero"/>
        <c:auto val="1"/>
        <c:lblAlgn val="ctr"/>
        <c:lblOffset val="100"/>
        <c:noMultiLvlLbl val="0"/>
      </c:catAx>
      <c:valAx>
        <c:axId val="5448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8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BAdmin!$B$2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BAdmin!$B$3:$B$22</c:f>
              <c:numCache>
                <c:formatCode>General</c:formatCode>
                <c:ptCount val="20"/>
                <c:pt idx="0">
                  <c:v>109</c:v>
                </c:pt>
                <c:pt idx="1">
                  <c:v>68</c:v>
                </c:pt>
                <c:pt idx="2">
                  <c:v>56</c:v>
                </c:pt>
                <c:pt idx="3">
                  <c:v>55</c:v>
                </c:pt>
                <c:pt idx="4">
                  <c:v>54</c:v>
                </c:pt>
                <c:pt idx="5">
                  <c:v>73</c:v>
                </c:pt>
                <c:pt idx="6">
                  <c:v>47</c:v>
                </c:pt>
                <c:pt idx="7">
                  <c:v>52</c:v>
                </c:pt>
                <c:pt idx="8">
                  <c:v>44</c:v>
                </c:pt>
                <c:pt idx="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E-435B-9387-DE7C565855B8}"/>
            </c:ext>
          </c:extLst>
        </c:ser>
        <c:ser>
          <c:idx val="1"/>
          <c:order val="1"/>
          <c:tx>
            <c:strRef>
              <c:f>BAdmin!$C$2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BAdmin!$A$3:$A$22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BAdmin!$C$3:$C$22</c:f>
              <c:numCache>
                <c:formatCode>General</c:formatCode>
                <c:ptCount val="20"/>
                <c:pt idx="9">
                  <c:v>37</c:v>
                </c:pt>
                <c:pt idx="10" formatCode="0">
                  <c:v>32.082682825608146</c:v>
                </c:pt>
                <c:pt idx="11" formatCode="0">
                  <c:v>26.957205266797057</c:v>
                </c:pt>
                <c:pt idx="12" formatCode="0">
                  <c:v>21.831727707985952</c:v>
                </c:pt>
                <c:pt idx="13" formatCode="0">
                  <c:v>16.706250149174863</c:v>
                </c:pt>
                <c:pt idx="14" formatCode="0">
                  <c:v>11.580772590363761</c:v>
                </c:pt>
                <c:pt idx="15" formatCode="0">
                  <c:v>6.4552950315526685</c:v>
                </c:pt>
                <c:pt idx="16" formatCode="0">
                  <c:v>1.3298174727415715</c:v>
                </c:pt>
                <c:pt idx="17" formatCode="0">
                  <c:v>-3.795660086069522</c:v>
                </c:pt>
                <c:pt idx="18" formatCode="0">
                  <c:v>-8.921137644880627</c:v>
                </c:pt>
                <c:pt idx="19" formatCode="0">
                  <c:v>-14.046615203691712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8E-435B-9387-DE7C565855B8}"/>
            </c:ext>
          </c:extLst>
        </c:ser>
        <c:ser>
          <c:idx val="2"/>
          <c:order val="2"/>
          <c:tx>
            <c:strRef>
              <c:f>BAdmin!$D$2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BAdmin!$A$3:$A$22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BAdmin!$D$3:$D$22</c:f>
              <c:numCache>
                <c:formatCode>General</c:formatCode>
                <c:ptCount val="20"/>
                <c:pt idx="9" formatCode="0.00">
                  <c:v>37</c:v>
                </c:pt>
                <c:pt idx="10" formatCode="0.00">
                  <c:v>1.411332844138208</c:v>
                </c:pt>
                <c:pt idx="11" formatCode="0.00">
                  <c:v>-14.32740024591762</c:v>
                </c:pt>
                <c:pt idx="12" formatCode="0.00">
                  <c:v>-27.865372149728987</c:v>
                </c:pt>
                <c:pt idx="13" formatCode="0.00">
                  <c:v>-40.187359658350026</c:v>
                </c:pt>
                <c:pt idx="14" formatCode="0.00">
                  <c:v>-51.709541374677499</c:v>
                </c:pt>
                <c:pt idx="15" formatCode="0.00">
                  <c:v>-62.654376001660339</c:v>
                </c:pt>
                <c:pt idx="16" formatCode="0.00">
                  <c:v>-73.157316207986057</c:v>
                </c:pt>
                <c:pt idx="17" formatCode="0.00">
                  <c:v>-83.308081029038632</c:v>
                </c:pt>
                <c:pt idx="18" formatCode="0.00">
                  <c:v>-93.169725244355092</c:v>
                </c:pt>
                <c:pt idx="19" formatCode="0.00">
                  <c:v>-102.78856272749371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8E-435B-9387-DE7C565855B8}"/>
            </c:ext>
          </c:extLst>
        </c:ser>
        <c:ser>
          <c:idx val="3"/>
          <c:order val="3"/>
          <c:tx>
            <c:strRef>
              <c:f>BAdmin!$E$2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BAdmin!$A$3:$A$22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BAdmin!$E$3:$E$22</c:f>
              <c:numCache>
                <c:formatCode>General</c:formatCode>
                <c:ptCount val="20"/>
                <c:pt idx="9" formatCode="0.00">
                  <c:v>37</c:v>
                </c:pt>
                <c:pt idx="10" formatCode="0.00">
                  <c:v>62.754032807078083</c:v>
                </c:pt>
                <c:pt idx="11" formatCode="0.00">
                  <c:v>68.241810779511738</c:v>
                </c:pt>
                <c:pt idx="12" formatCode="0.00">
                  <c:v>71.528827565700894</c:v>
                </c:pt>
                <c:pt idx="13" formatCode="0.00">
                  <c:v>73.59985995669976</c:v>
                </c:pt>
                <c:pt idx="14" formatCode="0.00">
                  <c:v>74.871086555405014</c:v>
                </c:pt>
                <c:pt idx="15" formatCode="0.00">
                  <c:v>75.56496606476567</c:v>
                </c:pt>
                <c:pt idx="16" formatCode="0.00">
                  <c:v>75.816951153469191</c:v>
                </c:pt>
                <c:pt idx="17" formatCode="0.00">
                  <c:v>75.716760856899597</c:v>
                </c:pt>
                <c:pt idx="18" formatCode="0.00">
                  <c:v>75.327449954593831</c:v>
                </c:pt>
                <c:pt idx="19" formatCode="0.00">
                  <c:v>74.695332320110282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8E-435B-9387-DE7C56585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525887"/>
        <c:axId val="652511327"/>
      </c:lineChart>
      <c:catAx>
        <c:axId val="6525258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11327"/>
        <c:crosses val="autoZero"/>
        <c:auto val="1"/>
        <c:lblAlgn val="ctr"/>
        <c:lblOffset val="100"/>
        <c:noMultiLvlLbl val="0"/>
      </c:catAx>
      <c:valAx>
        <c:axId val="6525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2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BSW!$B$2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BSW!$B$3:$B$17</c:f>
              <c:numCache>
                <c:formatCode>General</c:formatCode>
                <c:ptCount val="15"/>
                <c:pt idx="0">
                  <c:v>6</c:v>
                </c:pt>
                <c:pt idx="1">
                  <c:v>16</c:v>
                </c:pt>
                <c:pt idx="2">
                  <c:v>19</c:v>
                </c:pt>
                <c:pt idx="3">
                  <c:v>23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9-4C5C-BABE-76FA6B690C03}"/>
            </c:ext>
          </c:extLst>
        </c:ser>
        <c:ser>
          <c:idx val="1"/>
          <c:order val="1"/>
          <c:tx>
            <c:strRef>
              <c:f>BSW!$C$2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BSW!$A$3:$A$17</c:f>
              <c:numCache>
                <c:formatCode>General</c:formatCode>
                <c:ptCount val="1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</c:numCache>
            </c:numRef>
          </c:cat>
          <c:val>
            <c:numRef>
              <c:f>BSW!$C$3:$C$17</c:f>
              <c:numCache>
                <c:formatCode>General</c:formatCode>
                <c:ptCount val="15"/>
                <c:pt idx="4">
                  <c:v>22</c:v>
                </c:pt>
                <c:pt idx="5" formatCode="0">
                  <c:v>27.738255273479446</c:v>
                </c:pt>
                <c:pt idx="6" formatCode="0">
                  <c:v>31.472955083108889</c:v>
                </c:pt>
                <c:pt idx="7" formatCode="0">
                  <c:v>35.207654892738333</c:v>
                </c:pt>
                <c:pt idx="8" formatCode="0">
                  <c:v>38.94235470236778</c:v>
                </c:pt>
                <c:pt idx="9" formatCode="0">
                  <c:v>42.67705451199722</c:v>
                </c:pt>
                <c:pt idx="10" formatCode="0">
                  <c:v>46.41175432162666</c:v>
                </c:pt>
                <c:pt idx="11" formatCode="0">
                  <c:v>50.146454131256107</c:v>
                </c:pt>
                <c:pt idx="12" formatCode="0">
                  <c:v>53.881153940885554</c:v>
                </c:pt>
                <c:pt idx="13" formatCode="0">
                  <c:v>57.615853750515001</c:v>
                </c:pt>
                <c:pt idx="14" formatCode="0">
                  <c:v>61.350553560144434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09-4C5C-BABE-76FA6B690C03}"/>
            </c:ext>
          </c:extLst>
        </c:ser>
        <c:ser>
          <c:idx val="2"/>
          <c:order val="2"/>
          <c:tx>
            <c:strRef>
              <c:f>BSW!$D$2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BSW!$A$3:$A$17</c:f>
              <c:numCache>
                <c:formatCode>General</c:formatCode>
                <c:ptCount val="1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</c:numCache>
            </c:numRef>
          </c:cat>
          <c:val>
            <c:numRef>
              <c:f>BSW!$D$3:$D$17</c:f>
              <c:numCache>
                <c:formatCode>General</c:formatCode>
                <c:ptCount val="15"/>
                <c:pt idx="4" formatCode="0.00">
                  <c:v>22</c:v>
                </c:pt>
                <c:pt idx="5" formatCode="0.00">
                  <c:v>20.764921080713364</c:v>
                </c:pt>
                <c:pt idx="6" formatCode="0.00">
                  <c:v>23.673409376969687</c:v>
                </c:pt>
                <c:pt idx="7" formatCode="0.00">
                  <c:v>26.658549094338031</c:v>
                </c:pt>
                <c:pt idx="8" formatCode="0.00">
                  <c:v>29.701663320818362</c:v>
                </c:pt>
                <c:pt idx="9" formatCode="0.00">
                  <c:v>32.790573224535336</c:v>
                </c:pt>
                <c:pt idx="10" formatCode="0.00">
                  <c:v>35.91681686007415</c:v>
                </c:pt>
                <c:pt idx="11" formatCode="0.00">
                  <c:v>39.074233275099289</c:v>
                </c:pt>
                <c:pt idx="12" formatCode="0.00">
                  <c:v>42.258172541994796</c:v>
                </c:pt>
                <c:pt idx="13" formatCode="0.00">
                  <c:v>45.465023519167943</c:v>
                </c:pt>
                <c:pt idx="14" formatCode="0.00">
                  <c:v>48.691915873629164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09-4C5C-BABE-76FA6B690C03}"/>
            </c:ext>
          </c:extLst>
        </c:ser>
        <c:ser>
          <c:idx val="3"/>
          <c:order val="3"/>
          <c:tx>
            <c:strRef>
              <c:f>BSW!$E$2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BSW!$A$3:$A$17</c:f>
              <c:numCache>
                <c:formatCode>General</c:formatCode>
                <c:ptCount val="1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</c:numCache>
            </c:numRef>
          </c:cat>
          <c:val>
            <c:numRef>
              <c:f>BSW!$E$3:$E$17</c:f>
              <c:numCache>
                <c:formatCode>General</c:formatCode>
                <c:ptCount val="15"/>
                <c:pt idx="4" formatCode="0.00">
                  <c:v>22</c:v>
                </c:pt>
                <c:pt idx="5" formatCode="0.00">
                  <c:v>34.711589466245528</c:v>
                </c:pt>
                <c:pt idx="6" formatCode="0.00">
                  <c:v>39.272500789248092</c:v>
                </c:pt>
                <c:pt idx="7" formatCode="0.00">
                  <c:v>43.756760691138638</c:v>
                </c:pt>
                <c:pt idx="8" formatCode="0.00">
                  <c:v>48.183046083917198</c:v>
                </c:pt>
                <c:pt idx="9" formatCode="0.00">
                  <c:v>52.563535799459103</c:v>
                </c:pt>
                <c:pt idx="10" formatCode="0.00">
                  <c:v>56.90669178317917</c:v>
                </c:pt>
                <c:pt idx="11" formatCode="0.00">
                  <c:v>61.218674987412925</c:v>
                </c:pt>
                <c:pt idx="12" formatCode="0.00">
                  <c:v>65.504135339776312</c:v>
                </c:pt>
                <c:pt idx="13" formatCode="0.00">
                  <c:v>69.766683981862059</c:v>
                </c:pt>
                <c:pt idx="14" formatCode="0.00">
                  <c:v>74.009191246659697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09-4C5C-BABE-76FA6B690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510911"/>
        <c:axId val="652515487"/>
      </c:lineChart>
      <c:catAx>
        <c:axId val="65251091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15487"/>
        <c:crosses val="autoZero"/>
        <c:auto val="1"/>
        <c:lblAlgn val="ctr"/>
        <c:lblOffset val="100"/>
        <c:noMultiLvlLbl val="0"/>
      </c:catAx>
      <c:valAx>
        <c:axId val="65251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ALL!$B$2:$B$21</c:f>
              <c:numCache>
                <c:formatCode>General</c:formatCode>
                <c:ptCount val="20"/>
                <c:pt idx="0">
                  <c:v>1103</c:v>
                </c:pt>
                <c:pt idx="1">
                  <c:v>1009</c:v>
                </c:pt>
                <c:pt idx="2">
                  <c:v>991</c:v>
                </c:pt>
                <c:pt idx="3">
                  <c:v>908</c:v>
                </c:pt>
                <c:pt idx="4">
                  <c:v>1112</c:v>
                </c:pt>
                <c:pt idx="5">
                  <c:v>977</c:v>
                </c:pt>
                <c:pt idx="6">
                  <c:v>1242</c:v>
                </c:pt>
                <c:pt idx="7">
                  <c:v>1410</c:v>
                </c:pt>
                <c:pt idx="8">
                  <c:v>1441</c:v>
                </c:pt>
                <c:pt idx="9">
                  <c:v>1127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7-4AEA-9DED-1E3589DD378F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Forecast(Students)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ALL!$A$2:$A$21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ALL!$C$2:$C$21</c:f>
              <c:numCache>
                <c:formatCode>General</c:formatCode>
                <c:ptCount val="20"/>
                <c:pt idx="9">
                  <c:v>1127</c:v>
                </c:pt>
                <c:pt idx="10" formatCode="0">
                  <c:v>1346.1831540066023</c:v>
                </c:pt>
                <c:pt idx="11" formatCode="0">
                  <c:v>1383.2562619737851</c:v>
                </c:pt>
                <c:pt idx="12" formatCode="0">
                  <c:v>1420.3293699409678</c:v>
                </c:pt>
                <c:pt idx="13" formatCode="0">
                  <c:v>1457.4024779081506</c:v>
                </c:pt>
                <c:pt idx="14" formatCode="0">
                  <c:v>1494.4755858753333</c:v>
                </c:pt>
                <c:pt idx="15" formatCode="0">
                  <c:v>1531.5486938425161</c:v>
                </c:pt>
                <c:pt idx="16" formatCode="0">
                  <c:v>1568.6218018096988</c:v>
                </c:pt>
                <c:pt idx="17" formatCode="0">
                  <c:v>1605.6949097768816</c:v>
                </c:pt>
                <c:pt idx="18" formatCode="0">
                  <c:v>1642.7680177440643</c:v>
                </c:pt>
                <c:pt idx="19" formatCode="0">
                  <c:v>1679.8411257112471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7-4AEA-9DED-1E3589DD378F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Lower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ALL!$A$2:$A$21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ALL!$D$2:$D$21</c:f>
              <c:numCache>
                <c:formatCode>General</c:formatCode>
                <c:ptCount val="20"/>
                <c:pt idx="9" formatCode="0.00">
                  <c:v>1127</c:v>
                </c:pt>
                <c:pt idx="10" formatCode="0.00">
                  <c:v>1031.2786152508106</c:v>
                </c:pt>
                <c:pt idx="11" formatCode="0.00">
                  <c:v>1058.5835738535902</c:v>
                </c:pt>
                <c:pt idx="12" formatCode="0.00">
                  <c:v>1086.0993290675317</c:v>
                </c:pt>
                <c:pt idx="13" formatCode="0.00">
                  <c:v>1113.8080013926929</c:v>
                </c:pt>
                <c:pt idx="14" formatCode="0.00">
                  <c:v>1141.6939466848162</c:v>
                </c:pt>
                <c:pt idx="15" formatCode="0.00">
                  <c:v>1169.7433863551241</c:v>
                </c:pt>
                <c:pt idx="16" formatCode="0.00">
                  <c:v>1197.9441125027179</c:v>
                </c:pt>
                <c:pt idx="17" formatCode="0.00">
                  <c:v>1226.2852502379678</c:v>
                </c:pt>
                <c:pt idx="18" formatCode="0.00">
                  <c:v>1254.7570642128544</c:v>
                </c:pt>
                <c:pt idx="19" formatCode="0.00">
                  <c:v>1283.3507997183012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7-4AEA-9DED-1E3589DD378F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Upper Confidence Bound(Students)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ALL!$A$2:$A$21</c:f>
              <c:numCache>
                <c:formatCode>General</c:formatCode>
                <c:ptCount val="2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</c:numCache>
            </c:numRef>
          </c:cat>
          <c:val>
            <c:numRef>
              <c:f>ALL!$E$2:$E$21</c:f>
              <c:numCache>
                <c:formatCode>General</c:formatCode>
                <c:ptCount val="20"/>
                <c:pt idx="9" formatCode="0.00">
                  <c:v>1127</c:v>
                </c:pt>
                <c:pt idx="10" formatCode="0.00">
                  <c:v>1661.087692762394</c:v>
                </c:pt>
                <c:pt idx="11" formatCode="0.00">
                  <c:v>1707.9289500939799</c:v>
                </c:pt>
                <c:pt idx="12" formatCode="0.00">
                  <c:v>1754.5594108144039</c:v>
                </c:pt>
                <c:pt idx="13" formatCode="0.00">
                  <c:v>1800.9969544236083</c:v>
                </c:pt>
                <c:pt idx="14" formatCode="0.00">
                  <c:v>1847.2572250658504</c:v>
                </c:pt>
                <c:pt idx="15" formatCode="0.00">
                  <c:v>1893.354001329908</c:v>
                </c:pt>
                <c:pt idx="16" formatCode="0.00">
                  <c:v>1939.2994911166797</c:v>
                </c:pt>
                <c:pt idx="17" formatCode="0.00">
                  <c:v>1985.1045693157953</c:v>
                </c:pt>
                <c:pt idx="18" formatCode="0.00">
                  <c:v>2030.7789712752742</c:v>
                </c:pt>
                <c:pt idx="19" formatCode="0.00">
                  <c:v>2076.3314517041927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87-4AEA-9DED-1E3589DD3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524639"/>
        <c:axId val="652510079"/>
      </c:lineChart>
      <c:catAx>
        <c:axId val="65252463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10079"/>
        <c:crosses val="autoZero"/>
        <c:auto val="1"/>
        <c:lblAlgn val="ctr"/>
        <c:lblOffset val="100"/>
        <c:noMultiLvlLbl val="0"/>
      </c:catAx>
      <c:valAx>
        <c:axId val="6525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2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2047875</xdr:colOff>
      <xdr:row>1</xdr:row>
      <xdr:rowOff>180975</xdr:rowOff>
    </xdr:from>
    <xdr:to>
      <xdr:col>10</xdr:col>
      <xdr:colOff>606425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4</xdr:row>
      <xdr:rowOff>92075</xdr:rowOff>
    </xdr:from>
    <xdr:to>
      <xdr:col>9</xdr:col>
      <xdr:colOff>250825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1082674</xdr:colOff>
      <xdr:row>1</xdr:row>
      <xdr:rowOff>152400</xdr:rowOff>
    </xdr:from>
    <xdr:to>
      <xdr:col>10</xdr:col>
      <xdr:colOff>533399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1082675</xdr:colOff>
      <xdr:row>3</xdr:row>
      <xdr:rowOff>92075</xdr:rowOff>
    </xdr:from>
    <xdr:to>
      <xdr:col>9</xdr:col>
      <xdr:colOff>250825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5" name="Table15" displayName="Table15" ref="A2:E22" totalsRowShown="0">
  <autoFilter ref="A2:E22"/>
  <tableColumns count="5">
    <tableColumn id="1" name="Year" dataDxfId="75"/>
    <tableColumn id="2" name="Students"/>
    <tableColumn id="3" name="Forecast(Students)" dataDxfId="74">
      <calculatedColumnFormula>_xlfn.FORECAST.ETS(A3,$B$3:$B$12,$A$3:$A$12,1,1)</calculatedColumnFormula>
    </tableColumn>
    <tableColumn id="4" name="Lower Confidence Bound(Students)" dataDxfId="73">
      <calculatedColumnFormula>C3-_xlfn.FORECAST.ETS.CONFINT(A3,$B$3:$B$12,$A$3:$A$12,0.95,1,1)</calculatedColumnFormula>
    </tableColumn>
    <tableColumn id="5" name="Upper Confidence Bound(Students)" dataDxfId="72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4" name="Table14" displayName="Table14" ref="A2:E22" totalsRowShown="0">
  <autoFilter ref="A2:E22"/>
  <tableColumns count="5">
    <tableColumn id="1" name="Year" dataDxfId="71"/>
    <tableColumn id="2" name="Students"/>
    <tableColumn id="3" name="Forecast(Students)" dataDxfId="70">
      <calculatedColumnFormula>_xlfn.FORECAST.ETS(A3,$B$3:$B$12,$A$3:$A$12,1,1)</calculatedColumnFormula>
    </tableColumn>
    <tableColumn id="4" name="Lower Confidence Bound(Students)" dataDxfId="69">
      <calculatedColumnFormula>C3-_xlfn.FORECAST.ETS.CONFINT(A3,$B$3:$B$12,$A$3:$A$12,0.95,1,1)</calculatedColumnFormula>
    </tableColumn>
    <tableColumn id="5" name="Upper Confidence Bound(Students)" dataDxfId="68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3" name="Table13" displayName="Table13" ref="A2:E22" totalsRowShown="0">
  <autoFilter ref="A2:E22"/>
  <tableColumns count="5">
    <tableColumn id="1" name="Year" dataDxfId="67"/>
    <tableColumn id="2" name="Students"/>
    <tableColumn id="3" name="Forecast(Students)" dataDxfId="66">
      <calculatedColumnFormula>_xlfn.FORECAST.ETS(A3,$B$3:$B$12,$A$3:$A$12,1,1)</calculatedColumnFormula>
    </tableColumn>
    <tableColumn id="4" name="Lower Confidence Bound(Students)" dataDxfId="65">
      <calculatedColumnFormula>C3-_xlfn.FORECAST.ETS.CONFINT(A3,$B$3:$B$12,$A$3:$A$12,0.95,1,1)</calculatedColumnFormula>
    </tableColumn>
    <tableColumn id="5" name="Upper Confidence Bound(Students)" dataDxfId="64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2" name="Table12" displayName="Table12" ref="A2:E21" totalsRowShown="0">
  <autoFilter ref="A2:E21"/>
  <tableColumns count="5">
    <tableColumn id="1" name="Year" dataDxfId="63"/>
    <tableColumn id="2" name="Students"/>
    <tableColumn id="3" name="Forecast(Students)" dataDxfId="62">
      <calculatedColumnFormula>_xlfn.FORECAST.ETS(A3,$B$3:$B$12,$A$3:$A$12,4,1)</calculatedColumnFormula>
    </tableColumn>
    <tableColumn id="4" name="Lower Confidence Bound(Students)" dataDxfId="61">
      <calculatedColumnFormula>C3-_xlfn.FORECAST.ETS.CONFINT(A3,$B$3:$B$12,$A$3:$A$12,0.95,4,1)</calculatedColumnFormula>
    </tableColumn>
    <tableColumn id="5" name="Upper Confidence Bound(Students)" dataDxfId="60">
      <calculatedColumnFormula>C3+_xlfn.FORECAST.ETS.CONFINT(A3,$B$3:$B$12,$A$3:$A$12,0.95,4,1)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0" name="Table10" displayName="Table10" ref="A2:E22" totalsRowShown="0">
  <autoFilter ref="A2:E22"/>
  <tableColumns count="5">
    <tableColumn id="1" name="Year" dataDxfId="59"/>
    <tableColumn id="2" name="Students"/>
    <tableColumn id="3" name="Forecast(Students)" dataDxfId="58">
      <calculatedColumnFormula>_xlfn.FORECAST.ETS(A3,$B$3:$B$12,$A$3:$A$12,4,1)</calculatedColumnFormula>
    </tableColumn>
    <tableColumn id="4" name="Lower Confidence Bound(Students)" dataDxfId="57">
      <calculatedColumnFormula>C3-_xlfn.FORECAST.ETS.CONFINT(A3,$B$3:$B$12,$A$3:$A$12,0.95,4,1)</calculatedColumnFormula>
    </tableColumn>
    <tableColumn id="5" name="Upper Confidence Bound(Students)" dataDxfId="56">
      <calculatedColumnFormula>C3+_xlfn.FORECAST.ETS.CONFINT(A3,$B$3:$B$12,$A$3:$A$12,0.95,4,1)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6" name="Table16" displayName="Table16" ref="A2:E22" totalsRowShown="0">
  <autoFilter ref="A2:E22"/>
  <tableColumns count="5">
    <tableColumn id="1" name="Year" dataDxfId="55"/>
    <tableColumn id="2" name="Students"/>
    <tableColumn id="3" name="Forecast(Students)" dataDxfId="54">
      <calculatedColumnFormula>_xlfn.FORECAST.ETS(A3,$B$3:$B$12,$A$3:$A$12,1,1)</calculatedColumnFormula>
    </tableColumn>
    <tableColumn id="4" name="Lower Confidence Bound(Students)" dataDxfId="53">
      <calculatedColumnFormula>C3-_xlfn.FORECAST.ETS.CONFINT(A3,$B$3:$B$12,$A$3:$A$12,0.95,1,1)</calculatedColumnFormula>
    </tableColumn>
    <tableColumn id="5" name="Upper Confidence Bound(Students)" dataDxfId="52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0" name="Table20" displayName="Table20" ref="A2:E21" totalsRowShown="0">
  <autoFilter ref="A2:E21"/>
  <tableColumns count="5">
    <tableColumn id="1" name="Date" dataDxfId="51"/>
    <tableColumn id="2" name="Students"/>
    <tableColumn id="3" name="Forecast(Students)" dataDxfId="50">
      <calculatedColumnFormula>_xlfn.FORECAST.ETS(A3,$B$3:$B$11,$A$3:$A$11,1,1)</calculatedColumnFormula>
    </tableColumn>
    <tableColumn id="4" name="Lower Confidence Bound(Students)" dataDxfId="49">
      <calculatedColumnFormula>C3-_xlfn.FORECAST.ETS.CONFINT(A3,$B$3:$B$11,$A$3:$A$11,0.95,1,1)</calculatedColumnFormula>
    </tableColumn>
    <tableColumn id="5" name="Upper Confidence Bound(Students)" dataDxfId="48">
      <calculatedColumnFormula>C3+_xlfn.FORECAST.ETS.CONFINT(A3,$B$3:$B$11,$A$3:$A$11,0.95,1,1)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1" name="Table21" displayName="Table21" ref="A2:E21" totalsRowShown="0">
  <autoFilter ref="A2:E21"/>
  <tableColumns count="5">
    <tableColumn id="1" name="Year" dataDxfId="47"/>
    <tableColumn id="2" name="Students"/>
    <tableColumn id="3" name="Forecast(Students)" dataDxfId="46">
      <calculatedColumnFormula>_xlfn.FORECAST.ETS(A3,$B$3:$B$11,$A$3:$A$11,1,1)</calculatedColumnFormula>
    </tableColumn>
    <tableColumn id="4" name="Lower Confidence Bound(Students)" dataDxfId="45">
      <calculatedColumnFormula>C3-_xlfn.FORECAST.ETS.CONFINT(A3,$B$3:$B$11,$A$3:$A$11,0.95,1,1)</calculatedColumnFormula>
    </tableColumn>
    <tableColumn id="5" name="Upper Confidence Bound(Students)" dataDxfId="44">
      <calculatedColumnFormula>C3+_xlfn.FORECAST.ETS.CONFINT(A3,$B$3:$B$11,$A$3:$A$11,0.95,1,1)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4" name="Table24" displayName="Table24" ref="A2:E22" totalsRowShown="0">
  <autoFilter ref="A2:E22"/>
  <tableColumns count="5">
    <tableColumn id="1" name="Date" dataDxfId="43"/>
    <tableColumn id="2" name="Students"/>
    <tableColumn id="3" name="Forecast(Students)" dataDxfId="42">
      <calculatedColumnFormula>_xlfn.FORECAST.ETS(A3,$B$3:$B$12,$A$3:$A$12,4,1)</calculatedColumnFormula>
    </tableColumn>
    <tableColumn id="4" name="Lower Confidence Bound(Students)" dataDxfId="41">
      <calculatedColumnFormula>C3-_xlfn.FORECAST.ETS.CONFINT(A3,$B$3:$B$12,$A$3:$A$12,0.95,4,1)</calculatedColumnFormula>
    </tableColumn>
    <tableColumn id="5" name="Upper Confidence Bound(Students)" dataDxfId="40">
      <calculatedColumnFormula>C3+_xlfn.FORECAST.ETS.CONFINT(A3,$B$3:$B$12,$A$3:$A$12,0.95,4,1)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26" name="Table26" displayName="Table26" ref="A2:E22" totalsRowShown="0">
  <autoFilter ref="A2:E22"/>
  <tableColumns count="5">
    <tableColumn id="1" name="Date" dataDxfId="39"/>
    <tableColumn id="2" name="Students"/>
    <tableColumn id="3" name="Forecast(Students)" dataDxfId="38">
      <calculatedColumnFormula>_xlfn.FORECAST.ETS(A3,$B$3:$B$12,$A$3:$A$12,3,1)</calculatedColumnFormula>
    </tableColumn>
    <tableColumn id="4" name="Lower Confidence Bound(Students)" dataDxfId="37">
      <calculatedColumnFormula>C3-_xlfn.FORECAST.ETS.CONFINT(A3,$B$3:$B$12,$A$3:$A$12,0.95,3,1)</calculatedColumnFormula>
    </tableColumn>
    <tableColumn id="5" name="Upper Confidence Bound(Students)" dataDxfId="36">
      <calculatedColumnFormula>C3+_xlfn.FORECAST.ETS.CONFINT(A3,$B$3:$B$12,$A$3:$A$12,0.95,3,1)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27" name="Table27" displayName="Table27" ref="A2:E22" totalsRowShown="0">
  <autoFilter ref="A2:E22"/>
  <tableColumns count="5">
    <tableColumn id="1" name="Date" dataDxfId="35"/>
    <tableColumn id="2" name="Students"/>
    <tableColumn id="3" name="Forecast(Students)" dataDxfId="34">
      <calculatedColumnFormula>_xlfn.FORECAST.ETS(A3,$B$3:$B$12,$A$3:$A$12,1,1)</calculatedColumnFormula>
    </tableColumn>
    <tableColumn id="4" name="Lower Confidence Bound(Students)" dataDxfId="33">
      <calculatedColumnFormula>C3-_xlfn.FORECAST.ETS.CONFINT(A3,$B$3:$B$12,$A$3:$A$12,0.95,1,1)</calculatedColumnFormula>
    </tableColumn>
    <tableColumn id="5" name="Upper Confidence Bound(Students)" dataDxfId="32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28" name="Table28" displayName="Table28" ref="A2:E22" totalsRowShown="0">
  <autoFilter ref="A2:E22"/>
  <tableColumns count="5">
    <tableColumn id="1" name="Date" dataDxfId="31"/>
    <tableColumn id="2" name="Students"/>
    <tableColumn id="3" name="Forecast(Students)" dataDxfId="30">
      <calculatedColumnFormula>_xlfn.FORECAST.ETS(A3,$B$3:$B$12,$A$3:$A$12,4,1)</calculatedColumnFormula>
    </tableColumn>
    <tableColumn id="4" name="Lower Confidence Bound(Students)" dataDxfId="29">
      <calculatedColumnFormula>C3-_xlfn.FORECAST.ETS.CONFINT(A3,$B$3:$B$12,$A$3:$A$12,0.95,4,1)</calculatedColumnFormula>
    </tableColumn>
    <tableColumn id="5" name="Upper Confidence Bound(Students)" dataDxfId="28">
      <calculatedColumnFormula>C3+_xlfn.FORECAST.ETS.CONFINT(A3,$B$3:$B$12,$A$3:$A$12,0.95,4,1)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9" name="Table29" displayName="Table29" ref="A2:E20" totalsRowShown="0">
  <autoFilter ref="A2:E20"/>
  <tableColumns count="5">
    <tableColumn id="1" name="Date" dataDxfId="27"/>
    <tableColumn id="2" name="Students"/>
    <tableColumn id="3" name="Forecast(Students)" dataDxfId="26">
      <calculatedColumnFormula>_xlfn.FORECAST.ETS(A3,$B$3:$B$10,$A$3:$A$10,4,1)</calculatedColumnFormula>
    </tableColumn>
    <tableColumn id="4" name="Lower Confidence Bound(Students)" dataDxfId="25">
      <calculatedColumnFormula>C3-_xlfn.FORECAST.ETS.CONFINT(A3,$B$3:$B$10,$A$3:$A$10,0.95,4,1)</calculatedColumnFormula>
    </tableColumn>
    <tableColumn id="5" name="Upper Confidence Bound(Students)" dataDxfId="24">
      <calculatedColumnFormula>C3+_xlfn.FORECAST.ETS.CONFINT(A3,$B$3:$B$10,$A$3:$A$10,0.95,4,1)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31" name="Table31" displayName="Table31" ref="A2:E21" totalsRowShown="0">
  <autoFilter ref="A2:E21"/>
  <tableColumns count="5">
    <tableColumn id="1" name="Date" dataDxfId="23"/>
    <tableColumn id="2" name="Students"/>
    <tableColumn id="3" name="Forecast(Students)" dataDxfId="22">
      <calculatedColumnFormula>_xlfn.FORECAST.ETS(A3,$B$3:$B$11,$A$3:$A$11,1,1)</calculatedColumnFormula>
    </tableColumn>
    <tableColumn id="4" name="Lower Confidence Bound(Students)" dataDxfId="21">
      <calculatedColumnFormula>C3-_xlfn.FORECAST.ETS.CONFINT(A3,$B$3:$B$11,$A$3:$A$11,0.95,1,1)</calculatedColumnFormula>
    </tableColumn>
    <tableColumn id="5" name="Upper Confidence Bound(Students)" dataDxfId="20">
      <calculatedColumnFormula>C3+_xlfn.FORECAST.ETS.CONFINT(A3,$B$3:$B$11,$A$3:$A$11,0.95,1,1)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32" name="Table32" displayName="Table32" ref="A2:E19" totalsRowShown="0">
  <autoFilter ref="A2:E19"/>
  <tableColumns count="5">
    <tableColumn id="1" name="Date" dataDxfId="19"/>
    <tableColumn id="2" name="Students"/>
    <tableColumn id="3" name="Forecast(Students)" dataDxfId="18">
      <calculatedColumnFormula>_xlfn.FORECAST.ETS(A3,$B$3:$B$9,$A$3:$A$9,1,1)</calculatedColumnFormula>
    </tableColumn>
    <tableColumn id="4" name="Lower Confidence Bound(Students)" dataDxfId="17">
      <calculatedColumnFormula>C3-_xlfn.FORECAST.ETS.CONFINT(A3,$B$3:$B$9,$A$3:$A$9,0.95,1,1)</calculatedColumnFormula>
    </tableColumn>
    <tableColumn id="5" name="Upper Confidence Bound(Students)" dataDxfId="16">
      <calculatedColumnFormula>C3+_xlfn.FORECAST.ETS.CONFINT(A3,$B$3:$B$9,$A$3:$A$9,0.95,1,1)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33" name="Table33" displayName="Table33" ref="A2:E22" totalsRowShown="0">
  <autoFilter ref="A2:E22"/>
  <tableColumns count="5">
    <tableColumn id="1" name="Date" dataDxfId="15"/>
    <tableColumn id="2" name="Students"/>
    <tableColumn id="3" name="Forecast(Students)" dataDxfId="14">
      <calculatedColumnFormula>_xlfn.FORECAST.ETS(A3,$B$3:$B$12,$A$3:$A$12,1,1)</calculatedColumnFormula>
    </tableColumn>
    <tableColumn id="4" name="Lower Confidence Bound(Students)" dataDxfId="13">
      <calculatedColumnFormula>C3-_xlfn.FORECAST.ETS.CONFINT(A3,$B$3:$B$12,$A$3:$A$12,0.95,1,1)</calculatedColumnFormula>
    </tableColumn>
    <tableColumn id="5" name="Upper Confidence Bound(Students)" dataDxfId="12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34" name="Table34" displayName="Table34" ref="A2:E22" totalsRowShown="0">
  <autoFilter ref="A2:E22"/>
  <tableColumns count="5">
    <tableColumn id="1" name="Date" dataDxfId="11"/>
    <tableColumn id="2" name="Students"/>
    <tableColumn id="3" name="Forecast(Students)" dataDxfId="10">
      <calculatedColumnFormula>_xlfn.FORECAST.ETS(A3,$B$3:$B$12,$A$3:$A$12,1,1)</calculatedColumnFormula>
    </tableColumn>
    <tableColumn id="4" name="Lower Confidence Bound(Students)" dataDxfId="9">
      <calculatedColumnFormula>C3-_xlfn.FORECAST.ETS.CONFINT(A3,$B$3:$B$12,$A$3:$A$12,0.95,1,1)</calculatedColumnFormula>
    </tableColumn>
    <tableColumn id="5" name="Upper Confidence Bound(Students)" dataDxfId="8">
      <calculatedColumnFormula>C3+_xlfn.FORECAST.ETS.CONFINT(A3,$B$3:$B$12,$A$3:$A$12,0.95,1,1)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35" name="Table35" displayName="Table35" ref="A2:E17" totalsRowShown="0">
  <autoFilter ref="A2:E17"/>
  <tableColumns count="5">
    <tableColumn id="1" name="Date" dataDxfId="7"/>
    <tableColumn id="2" name="Students"/>
    <tableColumn id="3" name="Forecast(Students)" dataDxfId="6">
      <calculatedColumnFormula>_xlfn.FORECAST.ETS(A3,$B$3:$B$7,$A$3:$A$7,1,1)</calculatedColumnFormula>
    </tableColumn>
    <tableColumn id="4" name="Lower Confidence Bound(Students)" dataDxfId="5">
      <calculatedColumnFormula>C3-_xlfn.FORECAST.ETS.CONFINT(A3,$B$3:$B$7,$A$3:$A$7,0.95,1,1)</calculatedColumnFormula>
    </tableColumn>
    <tableColumn id="5" name="Upper Confidence Bound(Students)" dataDxfId="4">
      <calculatedColumnFormula>C3+_xlfn.FORECAST.ETS.CONFINT(A3,$B$3:$B$7,$A$3:$A$7,0.95,1,1)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36" name="Table36" displayName="Table36" ref="A1:E21" totalsRowShown="0">
  <autoFilter ref="A1:E21"/>
  <tableColumns count="5">
    <tableColumn id="1" name="Year" dataDxfId="3"/>
    <tableColumn id="2" name="Students"/>
    <tableColumn id="3" name="Forecast(Students)" dataDxfId="2">
      <calculatedColumnFormula>_xlfn.FORECAST.ETS(A2,$B$2:$B$11,$A$2:$A$11,1,1)</calculatedColumnFormula>
    </tableColumn>
    <tableColumn id="4" name="Lower Confidence Bound(Students)" dataDxfId="1">
      <calculatedColumnFormula>C2-_xlfn.FORECAST.ETS.CONFINT(A2,$B$2:$B$11,$A$2:$A$11,0.95,1,1)</calculatedColumnFormula>
    </tableColumn>
    <tableColumn id="5" name="Upper Confidence Bound(Students)" dataDxfId="0">
      <calculatedColumnFormula>C2+_xlfn.FORECAST.ETS.CONFINT(A2,$B$2:$B$11,$A$2:$A$11,0.95,1,1)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O16" sqref="O16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5</v>
      </c>
      <c r="B1" s="3"/>
      <c r="C1" s="3"/>
      <c r="D1" s="3"/>
      <c r="E1" s="3"/>
    </row>
    <row r="2" spans="1:5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140</v>
      </c>
    </row>
    <row r="4" spans="1:5" x14ac:dyDescent="0.25">
      <c r="A4">
        <v>2015</v>
      </c>
      <c r="B4">
        <v>111</v>
      </c>
    </row>
    <row r="5" spans="1:5" x14ac:dyDescent="0.25">
      <c r="A5">
        <v>2016</v>
      </c>
      <c r="B5">
        <v>105</v>
      </c>
    </row>
    <row r="6" spans="1:5" x14ac:dyDescent="0.25">
      <c r="A6">
        <v>2017</v>
      </c>
      <c r="B6">
        <v>92</v>
      </c>
    </row>
    <row r="7" spans="1:5" x14ac:dyDescent="0.25">
      <c r="A7">
        <v>2018</v>
      </c>
      <c r="B7">
        <v>93</v>
      </c>
    </row>
    <row r="8" spans="1:5" x14ac:dyDescent="0.25">
      <c r="A8">
        <v>2019</v>
      </c>
      <c r="B8">
        <v>121</v>
      </c>
    </row>
    <row r="9" spans="1:5" x14ac:dyDescent="0.25">
      <c r="A9">
        <v>2020</v>
      </c>
      <c r="B9">
        <v>119</v>
      </c>
    </row>
    <row r="10" spans="1:5" x14ac:dyDescent="0.25">
      <c r="A10">
        <v>2021</v>
      </c>
      <c r="B10">
        <v>146</v>
      </c>
    </row>
    <row r="11" spans="1:5" x14ac:dyDescent="0.25">
      <c r="A11">
        <v>2022</v>
      </c>
      <c r="B11">
        <v>178</v>
      </c>
    </row>
    <row r="12" spans="1:5" x14ac:dyDescent="0.25">
      <c r="A12">
        <v>2023</v>
      </c>
      <c r="B12">
        <v>157</v>
      </c>
      <c r="C12">
        <v>157</v>
      </c>
      <c r="D12" s="1">
        <v>157</v>
      </c>
      <c r="E12" s="1">
        <v>157</v>
      </c>
    </row>
    <row r="13" spans="1:5" x14ac:dyDescent="0.25">
      <c r="A13">
        <v>2024</v>
      </c>
      <c r="C13" s="2">
        <f t="shared" ref="C13:C22" si="0">_xlfn.FORECAST.ETS(A13,$B$3:$B$12,$A$3:$A$12,1,1)</f>
        <v>165.01964493490166</v>
      </c>
      <c r="D13" s="1">
        <f t="shared" ref="D13:D22" si="1">C13-_xlfn.FORECAST.ETS.CONFINT(A13,$B$3:$B$12,$A$3:$A$12,0.95,1,1)</f>
        <v>124.88589382806187</v>
      </c>
      <c r="E13" s="1">
        <f t="shared" ref="E13:E22" si="2">C13+_xlfn.FORECAST.ETS.CONFINT(A13,$B$3:$B$12,$A$3:$A$12,0.95,1,1)</f>
        <v>205.15339604174147</v>
      </c>
    </row>
    <row r="14" spans="1:5" x14ac:dyDescent="0.25">
      <c r="A14">
        <v>2025</v>
      </c>
      <c r="C14" s="2">
        <f t="shared" si="0"/>
        <v>170.6576203743669</v>
      </c>
      <c r="D14" s="1">
        <f t="shared" si="1"/>
        <v>116.63632417474169</v>
      </c>
      <c r="E14" s="1">
        <f t="shared" si="2"/>
        <v>224.67891657399213</v>
      </c>
    </row>
    <row r="15" spans="1:5" x14ac:dyDescent="0.25">
      <c r="A15">
        <v>2026</v>
      </c>
      <c r="C15" s="2">
        <f t="shared" si="0"/>
        <v>176.29559581383214</v>
      </c>
      <c r="D15" s="1">
        <f t="shared" si="1"/>
        <v>111.26647131731377</v>
      </c>
      <c r="E15" s="1">
        <f t="shared" si="2"/>
        <v>241.3247203103505</v>
      </c>
    </row>
    <row r="16" spans="1:5" x14ac:dyDescent="0.25">
      <c r="A16">
        <v>2027</v>
      </c>
      <c r="C16" s="2">
        <f t="shared" si="0"/>
        <v>181.93357125329737</v>
      </c>
      <c r="D16" s="1">
        <f t="shared" si="1"/>
        <v>107.48774552458478</v>
      </c>
      <c r="E16" s="1">
        <f t="shared" si="2"/>
        <v>256.37939698200995</v>
      </c>
    </row>
    <row r="17" spans="1:5" x14ac:dyDescent="0.25">
      <c r="A17">
        <v>2028</v>
      </c>
      <c r="C17" s="2">
        <f t="shared" si="0"/>
        <v>187.57154669276258</v>
      </c>
      <c r="D17" s="1">
        <f t="shared" si="1"/>
        <v>104.75557316432976</v>
      </c>
      <c r="E17" s="1">
        <f t="shared" si="2"/>
        <v>270.38752022119542</v>
      </c>
    </row>
    <row r="18" spans="1:5" x14ac:dyDescent="0.25">
      <c r="A18">
        <v>2029</v>
      </c>
      <c r="C18" s="2">
        <f t="shared" si="0"/>
        <v>193.20952213222785</v>
      </c>
      <c r="D18" s="1">
        <f t="shared" si="1"/>
        <v>102.77886492287017</v>
      </c>
      <c r="E18" s="1">
        <f t="shared" si="2"/>
        <v>283.64017934158551</v>
      </c>
    </row>
    <row r="19" spans="1:5" x14ac:dyDescent="0.25">
      <c r="A19">
        <v>2030</v>
      </c>
      <c r="C19" s="2">
        <f t="shared" si="0"/>
        <v>198.84749757169305</v>
      </c>
      <c r="D19" s="1">
        <f t="shared" si="1"/>
        <v>101.38037970403161</v>
      </c>
      <c r="E19" s="1">
        <f t="shared" si="2"/>
        <v>296.3146154393545</v>
      </c>
    </row>
    <row r="20" spans="1:5" x14ac:dyDescent="0.25">
      <c r="A20">
        <v>2031</v>
      </c>
      <c r="C20" s="2">
        <f t="shared" si="0"/>
        <v>204.48547301115829</v>
      </c>
      <c r="D20" s="1">
        <f t="shared" si="1"/>
        <v>100.44271930271972</v>
      </c>
      <c r="E20" s="1">
        <f t="shared" si="2"/>
        <v>308.52822671959689</v>
      </c>
    </row>
    <row r="21" spans="1:5" x14ac:dyDescent="0.25">
      <c r="A21">
        <v>2032</v>
      </c>
      <c r="C21" s="2">
        <f t="shared" si="0"/>
        <v>210.12344845062353</v>
      </c>
      <c r="D21" s="1">
        <f t="shared" si="1"/>
        <v>99.883375944429545</v>
      </c>
      <c r="E21" s="1">
        <f t="shared" si="2"/>
        <v>320.36352095681752</v>
      </c>
    </row>
    <row r="22" spans="1:5" x14ac:dyDescent="0.25">
      <c r="A22">
        <v>2033</v>
      </c>
      <c r="C22" s="2">
        <f t="shared" si="0"/>
        <v>215.76142389008876</v>
      </c>
      <c r="D22" s="1">
        <f t="shared" si="1"/>
        <v>99.641747488227992</v>
      </c>
      <c r="E22" s="1">
        <f t="shared" si="2"/>
        <v>331.88110029194956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7</v>
      </c>
      <c r="B1" s="3"/>
      <c r="C1" s="3"/>
      <c r="D1" s="3"/>
      <c r="E1" s="3"/>
    </row>
    <row r="2" spans="1:5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100</v>
      </c>
    </row>
    <row r="4" spans="1:5" x14ac:dyDescent="0.25">
      <c r="A4">
        <v>2015</v>
      </c>
      <c r="B4">
        <v>44</v>
      </c>
    </row>
    <row r="5" spans="1:5" x14ac:dyDescent="0.25">
      <c r="A5">
        <v>2016</v>
      </c>
      <c r="B5">
        <v>65</v>
      </c>
    </row>
    <row r="6" spans="1:5" x14ac:dyDescent="0.25">
      <c r="A6">
        <v>2017</v>
      </c>
      <c r="B6">
        <v>59</v>
      </c>
    </row>
    <row r="7" spans="1:5" x14ac:dyDescent="0.25">
      <c r="A7">
        <v>2018</v>
      </c>
      <c r="B7">
        <v>94</v>
      </c>
    </row>
    <row r="8" spans="1:5" x14ac:dyDescent="0.25">
      <c r="A8">
        <v>2019</v>
      </c>
      <c r="B8">
        <v>105</v>
      </c>
    </row>
    <row r="9" spans="1:5" x14ac:dyDescent="0.25">
      <c r="A9">
        <v>2020</v>
      </c>
      <c r="B9">
        <v>135</v>
      </c>
    </row>
    <row r="10" spans="1:5" x14ac:dyDescent="0.25">
      <c r="A10">
        <v>2021</v>
      </c>
      <c r="B10">
        <v>184</v>
      </c>
    </row>
    <row r="11" spans="1:5" x14ac:dyDescent="0.25">
      <c r="A11">
        <v>2022</v>
      </c>
      <c r="B11">
        <v>246</v>
      </c>
    </row>
    <row r="12" spans="1:5" x14ac:dyDescent="0.25">
      <c r="A12">
        <v>2023</v>
      </c>
      <c r="B12">
        <v>183</v>
      </c>
      <c r="C12">
        <v>183</v>
      </c>
      <c r="D12" s="1">
        <v>183</v>
      </c>
      <c r="E12" s="1">
        <v>183</v>
      </c>
    </row>
    <row r="13" spans="1:5" x14ac:dyDescent="0.25">
      <c r="A13">
        <v>2024</v>
      </c>
      <c r="C13" s="2">
        <f t="shared" ref="C13:C22" si="0">_xlfn.FORECAST.ETS(A13,$B$3:$B$12,$A$3:$A$12,1,1)</f>
        <v>218.08132643817061</v>
      </c>
      <c r="D13" s="1">
        <f t="shared" ref="D13:D22" si="1">C13-_xlfn.FORECAST.ETS.CONFINT(A13,$B$3:$B$12,$A$3:$A$12,0.95,1,1)</f>
        <v>141.50681123241077</v>
      </c>
      <c r="E13" s="1">
        <f t="shared" ref="E13:E22" si="2">C13+_xlfn.FORECAST.ETS.CONFINT(A13,$B$3:$B$12,$A$3:$A$12,0.95,1,1)</f>
        <v>294.65584164393044</v>
      </c>
    </row>
    <row r="14" spans="1:5" x14ac:dyDescent="0.25">
      <c r="A14">
        <v>2025</v>
      </c>
      <c r="C14" s="2">
        <f t="shared" si="0"/>
        <v>236.14928992721389</v>
      </c>
      <c r="D14" s="1">
        <f t="shared" si="1"/>
        <v>140.38518161722172</v>
      </c>
      <c r="E14" s="1">
        <f t="shared" si="2"/>
        <v>331.91339823720602</v>
      </c>
    </row>
    <row r="15" spans="1:5" x14ac:dyDescent="0.25">
      <c r="A15">
        <v>2026</v>
      </c>
      <c r="C15" s="2">
        <f t="shared" si="0"/>
        <v>254.21725341625725</v>
      </c>
      <c r="D15" s="1">
        <f t="shared" si="1"/>
        <v>142.47341431379795</v>
      </c>
      <c r="E15" s="1">
        <f t="shared" si="2"/>
        <v>365.96109251871655</v>
      </c>
    </row>
    <row r="16" spans="1:5" x14ac:dyDescent="0.25">
      <c r="A16">
        <v>2027</v>
      </c>
      <c r="C16" s="2">
        <f t="shared" si="0"/>
        <v>272.28521690530056</v>
      </c>
      <c r="D16" s="1">
        <f t="shared" si="1"/>
        <v>146.54170209377992</v>
      </c>
      <c r="E16" s="1">
        <f t="shared" si="2"/>
        <v>398.0287317168212</v>
      </c>
    </row>
    <row r="17" spans="1:5" x14ac:dyDescent="0.25">
      <c r="A17">
        <v>2028</v>
      </c>
      <c r="C17" s="2">
        <f t="shared" si="0"/>
        <v>290.35318039434389</v>
      </c>
      <c r="D17" s="1">
        <f t="shared" si="1"/>
        <v>151.98767173298333</v>
      </c>
      <c r="E17" s="1">
        <f t="shared" si="2"/>
        <v>428.71868905570443</v>
      </c>
    </row>
    <row r="18" spans="1:5" x14ac:dyDescent="0.25">
      <c r="A18">
        <v>2029</v>
      </c>
      <c r="C18" s="2">
        <f t="shared" si="0"/>
        <v>308.42114388338723</v>
      </c>
      <c r="D18" s="1">
        <f t="shared" si="1"/>
        <v>158.46300067484088</v>
      </c>
      <c r="E18" s="1">
        <f t="shared" si="2"/>
        <v>458.37928709193358</v>
      </c>
    </row>
    <row r="19" spans="1:5" x14ac:dyDescent="0.25">
      <c r="A19">
        <v>2030</v>
      </c>
      <c r="C19" s="2">
        <f t="shared" si="0"/>
        <v>326.48910737243057</v>
      </c>
      <c r="D19" s="1">
        <f t="shared" si="1"/>
        <v>165.74479043779863</v>
      </c>
      <c r="E19" s="1">
        <f t="shared" si="2"/>
        <v>487.23342430706248</v>
      </c>
    </row>
    <row r="20" spans="1:5" x14ac:dyDescent="0.25">
      <c r="A20">
        <v>2031</v>
      </c>
      <c r="C20" s="2">
        <f t="shared" si="0"/>
        <v>344.5570708614739</v>
      </c>
      <c r="D20" s="1">
        <f t="shared" si="1"/>
        <v>173.68022090481847</v>
      </c>
      <c r="E20" s="1">
        <f t="shared" si="2"/>
        <v>515.43392081812931</v>
      </c>
    </row>
    <row r="21" spans="1:5" x14ac:dyDescent="0.25">
      <c r="A21">
        <v>2032</v>
      </c>
      <c r="C21" s="2">
        <f t="shared" si="0"/>
        <v>362.62503435051724</v>
      </c>
      <c r="D21" s="1">
        <f t="shared" si="1"/>
        <v>182.15912700275402</v>
      </c>
      <c r="E21" s="1">
        <f t="shared" si="2"/>
        <v>543.0909416982804</v>
      </c>
    </row>
    <row r="22" spans="1:5" x14ac:dyDescent="0.25">
      <c r="A22">
        <v>2033</v>
      </c>
      <c r="C22" s="2">
        <f t="shared" si="0"/>
        <v>380.69299783956058</v>
      </c>
      <c r="D22" s="1">
        <f t="shared" si="1"/>
        <v>191.09899807870181</v>
      </c>
      <c r="E22" s="1">
        <f t="shared" si="2"/>
        <v>570.28699760041934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K8" sqref="K8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4" t="s">
        <v>8</v>
      </c>
      <c r="B1" s="4"/>
      <c r="C1" s="4"/>
    </row>
    <row r="2" spans="1:5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85</v>
      </c>
    </row>
    <row r="4" spans="1:5" x14ac:dyDescent="0.25">
      <c r="A4">
        <v>2015</v>
      </c>
      <c r="B4">
        <v>90</v>
      </c>
    </row>
    <row r="5" spans="1:5" x14ac:dyDescent="0.25">
      <c r="A5">
        <v>2016</v>
      </c>
      <c r="B5">
        <v>90</v>
      </c>
    </row>
    <row r="6" spans="1:5" x14ac:dyDescent="0.25">
      <c r="A6">
        <v>2017</v>
      </c>
      <c r="B6">
        <v>89</v>
      </c>
    </row>
    <row r="7" spans="1:5" x14ac:dyDescent="0.25">
      <c r="A7">
        <v>2018</v>
      </c>
      <c r="B7">
        <v>131</v>
      </c>
    </row>
    <row r="8" spans="1:5" x14ac:dyDescent="0.25">
      <c r="A8">
        <v>2019</v>
      </c>
      <c r="B8">
        <v>107</v>
      </c>
    </row>
    <row r="9" spans="1:5" x14ac:dyDescent="0.25">
      <c r="A9">
        <v>2020</v>
      </c>
      <c r="B9">
        <v>145</v>
      </c>
    </row>
    <row r="10" spans="1:5" x14ac:dyDescent="0.25">
      <c r="A10">
        <v>2021</v>
      </c>
      <c r="B10">
        <v>208</v>
      </c>
    </row>
    <row r="11" spans="1:5" x14ac:dyDescent="0.25">
      <c r="A11">
        <v>2022</v>
      </c>
      <c r="B11">
        <v>171</v>
      </c>
    </row>
    <row r="12" spans="1:5" x14ac:dyDescent="0.25">
      <c r="A12">
        <v>2023</v>
      </c>
      <c r="B12">
        <v>139</v>
      </c>
      <c r="C12">
        <v>139</v>
      </c>
      <c r="D12" s="1">
        <v>139</v>
      </c>
      <c r="E12" s="1">
        <v>139</v>
      </c>
    </row>
    <row r="13" spans="1:5" x14ac:dyDescent="0.25">
      <c r="A13">
        <v>2024</v>
      </c>
      <c r="C13" s="2">
        <f t="shared" ref="C13:C22" si="0">_xlfn.FORECAST.ETS(A13,$B$3:$B$12,$A$3:$A$12,1,1)</f>
        <v>178.42377749937216</v>
      </c>
      <c r="D13" s="1">
        <f t="shared" ref="D13:D22" si="1">C13-_xlfn.FORECAST.ETS.CONFINT(A13,$B$3:$B$12,$A$3:$A$12,0.95,1,1)</f>
        <v>129.1049432740146</v>
      </c>
      <c r="E13" s="1">
        <f t="shared" ref="E13:E22" si="2">C13+_xlfn.FORECAST.ETS.CONFINT(A13,$B$3:$B$12,$A$3:$A$12,0.95,1,1)</f>
        <v>227.74261172472973</v>
      </c>
    </row>
    <row r="14" spans="1:5" x14ac:dyDescent="0.25">
      <c r="A14">
        <v>2025</v>
      </c>
      <c r="C14" s="2">
        <f t="shared" si="0"/>
        <v>170.65610567601931</v>
      </c>
      <c r="D14" s="1">
        <f t="shared" si="1"/>
        <v>108.9483298392222</v>
      </c>
      <c r="E14" s="1">
        <f t="shared" si="2"/>
        <v>232.36388151281642</v>
      </c>
    </row>
    <row r="15" spans="1:5" x14ac:dyDescent="0.25">
      <c r="A15">
        <v>2026</v>
      </c>
      <c r="C15" s="2">
        <f t="shared" si="0"/>
        <v>187.42757341418911</v>
      </c>
      <c r="D15" s="1">
        <f t="shared" si="1"/>
        <v>115.40665651533554</v>
      </c>
      <c r="E15" s="1">
        <f t="shared" si="2"/>
        <v>259.44849031304267</v>
      </c>
    </row>
    <row r="16" spans="1:5" x14ac:dyDescent="0.25">
      <c r="A16">
        <v>2027</v>
      </c>
      <c r="C16" s="2">
        <f t="shared" si="0"/>
        <v>213.55683220108577</v>
      </c>
      <c r="D16" s="1">
        <f t="shared" si="1"/>
        <v>132.47963871879176</v>
      </c>
      <c r="E16" s="1">
        <f t="shared" si="2"/>
        <v>294.63402568337978</v>
      </c>
    </row>
    <row r="17" spans="1:5" x14ac:dyDescent="0.25">
      <c r="A17">
        <v>2028</v>
      </c>
      <c r="C17" s="2">
        <f t="shared" si="0"/>
        <v>205.78916037773291</v>
      </c>
      <c r="D17" s="1">
        <f t="shared" si="1"/>
        <v>116.57027148653957</v>
      </c>
      <c r="E17" s="1">
        <f t="shared" si="2"/>
        <v>295.00804926892624</v>
      </c>
    </row>
    <row r="18" spans="1:5" x14ac:dyDescent="0.25">
      <c r="A18">
        <v>2029</v>
      </c>
      <c r="C18" s="2">
        <f t="shared" si="0"/>
        <v>222.56062811590272</v>
      </c>
      <c r="D18" s="1">
        <f t="shared" si="1"/>
        <v>125.86427738885412</v>
      </c>
      <c r="E18" s="1">
        <f t="shared" si="2"/>
        <v>319.2569788429513</v>
      </c>
    </row>
    <row r="19" spans="1:5" x14ac:dyDescent="0.25">
      <c r="A19">
        <v>2030</v>
      </c>
      <c r="C19" s="2">
        <f t="shared" si="0"/>
        <v>248.68988690279937</v>
      </c>
      <c r="D19" s="1">
        <f t="shared" si="1"/>
        <v>145.01865897125998</v>
      </c>
      <c r="E19" s="1">
        <f t="shared" si="2"/>
        <v>352.36111483433876</v>
      </c>
    </row>
    <row r="20" spans="1:5" x14ac:dyDescent="0.25">
      <c r="A20">
        <v>2031</v>
      </c>
      <c r="C20" s="2">
        <f t="shared" si="0"/>
        <v>240.92221507944652</v>
      </c>
      <c r="D20" s="1">
        <f t="shared" si="1"/>
        <v>130.71666731646872</v>
      </c>
      <c r="E20" s="1">
        <f t="shared" si="2"/>
        <v>351.12776284242432</v>
      </c>
    </row>
    <row r="21" spans="1:5" x14ac:dyDescent="0.25">
      <c r="A21">
        <v>2032</v>
      </c>
      <c r="C21" s="2">
        <f t="shared" si="0"/>
        <v>257.69368281761632</v>
      </c>
      <c r="D21" s="1">
        <f t="shared" si="1"/>
        <v>141.30428516618605</v>
      </c>
      <c r="E21" s="1">
        <f t="shared" si="2"/>
        <v>374.08308046904659</v>
      </c>
    </row>
    <row r="22" spans="1:5" x14ac:dyDescent="0.25">
      <c r="A22">
        <v>2033</v>
      </c>
      <c r="C22" s="2">
        <f t="shared" si="0"/>
        <v>283.82294160451301</v>
      </c>
      <c r="D22" s="1">
        <f t="shared" si="1"/>
        <v>161.53183256664403</v>
      </c>
      <c r="E22" s="1">
        <f t="shared" si="2"/>
        <v>406.11405064238198</v>
      </c>
    </row>
  </sheetData>
  <mergeCells count="1">
    <mergeCell ref="A1:C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1"/>
    </sheetView>
  </sheetViews>
  <sheetFormatPr defaultColWidth="8.85546875" defaultRowHeight="15" x14ac:dyDescent="0.25"/>
  <cols>
    <col min="1" max="1" width="15.28515625" customWidth="1"/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9</v>
      </c>
      <c r="B1" s="3"/>
      <c r="C1" s="3"/>
      <c r="D1" s="3"/>
      <c r="E1" s="3"/>
    </row>
    <row r="2" spans="1:5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0</v>
      </c>
    </row>
    <row r="4" spans="1:5" x14ac:dyDescent="0.25">
      <c r="A4">
        <v>2015</v>
      </c>
      <c r="B4">
        <v>0</v>
      </c>
    </row>
    <row r="5" spans="1:5" x14ac:dyDescent="0.25">
      <c r="A5">
        <v>2016</v>
      </c>
      <c r="B5">
        <v>0</v>
      </c>
    </row>
    <row r="6" spans="1:5" x14ac:dyDescent="0.25">
      <c r="A6">
        <v>2017</v>
      </c>
      <c r="B6">
        <v>0</v>
      </c>
    </row>
    <row r="7" spans="1:5" x14ac:dyDescent="0.25">
      <c r="A7">
        <v>2018</v>
      </c>
      <c r="B7">
        <v>22</v>
      </c>
    </row>
    <row r="8" spans="1:5" x14ac:dyDescent="0.25">
      <c r="A8">
        <v>2019</v>
      </c>
      <c r="B8">
        <v>14</v>
      </c>
    </row>
    <row r="9" spans="1:5" x14ac:dyDescent="0.25">
      <c r="A9">
        <v>2020</v>
      </c>
      <c r="B9">
        <v>32</v>
      </c>
    </row>
    <row r="10" spans="1:5" x14ac:dyDescent="0.25">
      <c r="A10">
        <v>2021</v>
      </c>
      <c r="B10">
        <v>14</v>
      </c>
    </row>
    <row r="11" spans="1:5" x14ac:dyDescent="0.25">
      <c r="A11">
        <v>2022</v>
      </c>
      <c r="B11">
        <v>11</v>
      </c>
    </row>
    <row r="12" spans="1:5" x14ac:dyDescent="0.25">
      <c r="A12">
        <v>2023</v>
      </c>
      <c r="B12">
        <v>9</v>
      </c>
      <c r="C12" s="2">
        <v>9</v>
      </c>
      <c r="D12" s="1">
        <v>9</v>
      </c>
      <c r="E12" s="1">
        <v>9</v>
      </c>
    </row>
    <row r="13" spans="1:5" x14ac:dyDescent="0.25">
      <c r="A13">
        <v>2024</v>
      </c>
      <c r="C13" s="2">
        <f t="shared" ref="C13:C21" si="0">_xlfn.FORECAST.ETS(A13,$B$3:$B$12,$A$3:$A$12,4,1)</f>
        <v>28.130634905778823</v>
      </c>
      <c r="D13" s="1">
        <f t="shared" ref="D13:D21" si="1">C13-_xlfn.FORECAST.ETS.CONFINT(A13,$B$3:$B$12,$A$3:$A$12,0.95,4,1)</f>
        <v>7.55754637731917</v>
      </c>
      <c r="E13" s="1">
        <f t="shared" ref="E13:E21" si="2">C13+_xlfn.FORECAST.ETS.CONFINT(A13,$B$3:$B$12,$A$3:$A$12,0.95,4,1)</f>
        <v>48.703723434238476</v>
      </c>
    </row>
    <row r="14" spans="1:5" x14ac:dyDescent="0.25">
      <c r="A14">
        <v>2025</v>
      </c>
      <c r="C14" s="2">
        <f t="shared" si="0"/>
        <v>19.532648610244472</v>
      </c>
      <c r="D14" s="1">
        <f t="shared" si="1"/>
        <v>-1.2056879346612455</v>
      </c>
      <c r="E14" s="1">
        <f t="shared" si="2"/>
        <v>40.270985155150186</v>
      </c>
    </row>
    <row r="15" spans="1:5" x14ac:dyDescent="0.25">
      <c r="A15">
        <v>2026</v>
      </c>
      <c r="C15" s="2">
        <f t="shared" si="0"/>
        <v>41.223866186471952</v>
      </c>
      <c r="D15" s="1">
        <f t="shared" si="1"/>
        <v>20.319006393771506</v>
      </c>
      <c r="E15" s="1">
        <f t="shared" si="2"/>
        <v>62.128725979172401</v>
      </c>
    </row>
    <row r="16" spans="1:5" x14ac:dyDescent="0.25">
      <c r="A16">
        <v>2027</v>
      </c>
      <c r="C16" s="2">
        <f t="shared" si="0"/>
        <v>30.714394457644225</v>
      </c>
      <c r="D16" s="1">
        <f t="shared" si="1"/>
        <v>9.6417463323644625</v>
      </c>
      <c r="E16" s="1">
        <f t="shared" si="2"/>
        <v>51.787042582923988</v>
      </c>
    </row>
    <row r="17" spans="1:5" x14ac:dyDescent="0.25">
      <c r="A17">
        <v>2028</v>
      </c>
      <c r="C17" s="2">
        <f t="shared" si="0"/>
        <v>40.999199325871935</v>
      </c>
      <c r="D17" s="1">
        <f t="shared" si="1"/>
        <v>19.754907713853388</v>
      </c>
      <c r="E17" s="1">
        <f t="shared" si="2"/>
        <v>62.243490937890485</v>
      </c>
    </row>
    <row r="18" spans="1:5" x14ac:dyDescent="0.25">
      <c r="A18">
        <v>2029</v>
      </c>
      <c r="C18" s="2">
        <f t="shared" si="0"/>
        <v>32.401213030337587</v>
      </c>
      <c r="D18" s="1">
        <f t="shared" si="1"/>
        <v>10.986653656371789</v>
      </c>
      <c r="E18" s="1">
        <f t="shared" si="2"/>
        <v>53.815772404303388</v>
      </c>
    </row>
    <row r="19" spans="1:5" x14ac:dyDescent="0.25">
      <c r="A19">
        <v>2030</v>
      </c>
      <c r="C19" s="2">
        <f t="shared" si="0"/>
        <v>54.09243060656506</v>
      </c>
      <c r="D19" s="1">
        <f t="shared" si="1"/>
        <v>32.506368076908061</v>
      </c>
      <c r="E19" s="1">
        <f t="shared" si="2"/>
        <v>75.678493136222059</v>
      </c>
    </row>
    <row r="20" spans="1:5" x14ac:dyDescent="0.25">
      <c r="A20">
        <v>2031</v>
      </c>
      <c r="C20" s="2">
        <f t="shared" si="0"/>
        <v>43.58295887773734</v>
      </c>
      <c r="D20" s="1">
        <f t="shared" si="1"/>
        <v>21.824167558826922</v>
      </c>
      <c r="E20" s="1">
        <f t="shared" si="2"/>
        <v>65.341750196647752</v>
      </c>
    </row>
    <row r="21" spans="1:5" x14ac:dyDescent="0.25">
      <c r="A21">
        <v>2032</v>
      </c>
      <c r="C21" s="2">
        <f t="shared" si="0"/>
        <v>53.86776374596505</v>
      </c>
      <c r="D21" s="1">
        <f t="shared" si="1"/>
        <v>31.932432272693479</v>
      </c>
      <c r="E21" s="1">
        <f t="shared" si="2"/>
        <v>75.803095219236624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10</v>
      </c>
      <c r="B1" s="3"/>
      <c r="C1" s="3"/>
      <c r="D1" s="3"/>
      <c r="E1" s="3"/>
    </row>
    <row r="2" spans="1:5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75</v>
      </c>
    </row>
    <row r="4" spans="1:5" x14ac:dyDescent="0.25">
      <c r="A4">
        <v>2015</v>
      </c>
      <c r="B4">
        <v>84</v>
      </c>
    </row>
    <row r="5" spans="1:5" x14ac:dyDescent="0.25">
      <c r="A5">
        <v>2016</v>
      </c>
      <c r="B5">
        <v>73</v>
      </c>
    </row>
    <row r="6" spans="1:5" x14ac:dyDescent="0.25">
      <c r="A6">
        <v>2017</v>
      </c>
      <c r="B6">
        <v>76</v>
      </c>
    </row>
    <row r="7" spans="1:5" x14ac:dyDescent="0.25">
      <c r="A7">
        <v>2018</v>
      </c>
      <c r="B7">
        <v>105</v>
      </c>
    </row>
    <row r="8" spans="1:5" x14ac:dyDescent="0.25">
      <c r="A8">
        <v>2019</v>
      </c>
      <c r="B8">
        <v>73</v>
      </c>
    </row>
    <row r="9" spans="1:5" x14ac:dyDescent="0.25">
      <c r="A9">
        <v>2020</v>
      </c>
      <c r="B9">
        <v>87</v>
      </c>
    </row>
    <row r="10" spans="1:5" x14ac:dyDescent="0.25">
      <c r="A10">
        <v>2021</v>
      </c>
      <c r="B10">
        <v>85</v>
      </c>
    </row>
    <row r="11" spans="1:5" x14ac:dyDescent="0.25">
      <c r="A11">
        <v>2022</v>
      </c>
      <c r="B11">
        <v>75</v>
      </c>
    </row>
    <row r="12" spans="1:5" x14ac:dyDescent="0.25">
      <c r="A12">
        <v>2023</v>
      </c>
      <c r="B12">
        <v>44</v>
      </c>
      <c r="C12">
        <v>44</v>
      </c>
      <c r="D12" s="1">
        <v>44</v>
      </c>
      <c r="E12" s="1">
        <v>44</v>
      </c>
    </row>
    <row r="13" spans="1:5" x14ac:dyDescent="0.25">
      <c r="A13">
        <v>2024</v>
      </c>
      <c r="C13" s="2">
        <f t="shared" ref="C13:C22" si="0">_xlfn.FORECAST.ETS(A13,$B$3:$B$12,$A$3:$A$12,4,1)</f>
        <v>56.862559156523822</v>
      </c>
      <c r="D13" s="1">
        <f t="shared" ref="D13:D22" si="1">C13-_xlfn.FORECAST.ETS.CONFINT(A13,$B$3:$B$12,$A$3:$A$12,0.95,4,1)</f>
        <v>20.847021641221396</v>
      </c>
      <c r="E13" s="1">
        <f t="shared" ref="E13:E22" si="2">C13+_xlfn.FORECAST.ETS.CONFINT(A13,$B$3:$B$12,$A$3:$A$12,0.95,4,1)</f>
        <v>92.878096671826256</v>
      </c>
    </row>
    <row r="14" spans="1:5" x14ac:dyDescent="0.25">
      <c r="A14">
        <v>2025</v>
      </c>
      <c r="C14" s="2">
        <f t="shared" si="0"/>
        <v>53.670444318658546</v>
      </c>
      <c r="D14" s="1">
        <f t="shared" si="1"/>
        <v>13.371584477392595</v>
      </c>
      <c r="E14" s="1">
        <f t="shared" si="2"/>
        <v>93.969304159924491</v>
      </c>
    </row>
    <row r="15" spans="1:5" x14ac:dyDescent="0.25">
      <c r="A15">
        <v>2026</v>
      </c>
      <c r="C15" s="2">
        <f t="shared" si="0"/>
        <v>82.292214300842289</v>
      </c>
      <c r="D15" s="1">
        <f t="shared" si="1"/>
        <v>38.10872336776788</v>
      </c>
      <c r="E15" s="1">
        <f t="shared" si="2"/>
        <v>126.4757052339167</v>
      </c>
    </row>
    <row r="16" spans="1:5" x14ac:dyDescent="0.25">
      <c r="A16">
        <v>2027</v>
      </c>
      <c r="C16" s="2">
        <f t="shared" si="0"/>
        <v>53.196253892912267</v>
      </c>
      <c r="D16" s="1">
        <f t="shared" si="1"/>
        <v>5.4294261111215647</v>
      </c>
      <c r="E16" s="1">
        <f t="shared" si="2"/>
        <v>100.96308167470298</v>
      </c>
    </row>
    <row r="17" spans="1:5" x14ac:dyDescent="0.25">
      <c r="A17">
        <v>2028</v>
      </c>
      <c r="C17" s="2">
        <f t="shared" si="0"/>
        <v>56.28348324981539</v>
      </c>
      <c r="D17" s="1">
        <f t="shared" si="1"/>
        <v>5.1583526201405334</v>
      </c>
      <c r="E17" s="1">
        <f t="shared" si="2"/>
        <v>107.40861387949025</v>
      </c>
    </row>
    <row r="18" spans="1:5" x14ac:dyDescent="0.25">
      <c r="A18">
        <v>2029</v>
      </c>
      <c r="C18" s="2">
        <f t="shared" si="0"/>
        <v>53.091368411950114</v>
      </c>
      <c r="D18" s="1">
        <f t="shared" si="1"/>
        <v>-1.1846679896459875</v>
      </c>
      <c r="E18" s="1">
        <f t="shared" si="2"/>
        <v>107.36740481354622</v>
      </c>
    </row>
    <row r="19" spans="1:5" x14ac:dyDescent="0.25">
      <c r="A19">
        <v>2030</v>
      </c>
      <c r="C19" s="2">
        <f t="shared" si="0"/>
        <v>81.713138394133864</v>
      </c>
      <c r="D19" s="1">
        <f t="shared" si="1"/>
        <v>24.44786746556651</v>
      </c>
      <c r="E19" s="1">
        <f t="shared" si="2"/>
        <v>138.97840932270122</v>
      </c>
    </row>
    <row r="20" spans="1:5" x14ac:dyDescent="0.25">
      <c r="A20">
        <v>2031</v>
      </c>
      <c r="C20" s="2">
        <f t="shared" si="0"/>
        <v>52.617177986203842</v>
      </c>
      <c r="D20" s="1">
        <f t="shared" si="1"/>
        <v>-7.4997992939597893</v>
      </c>
      <c r="E20" s="1">
        <f t="shared" si="2"/>
        <v>112.73415526636748</v>
      </c>
    </row>
    <row r="21" spans="1:5" x14ac:dyDescent="0.25">
      <c r="A21">
        <v>2032</v>
      </c>
      <c r="C21" s="2">
        <f t="shared" si="0"/>
        <v>55.704407343106965</v>
      </c>
      <c r="D21" s="1">
        <f t="shared" si="1"/>
        <v>-7.1560062273760252</v>
      </c>
      <c r="E21" s="1">
        <f t="shared" si="2"/>
        <v>118.56482091358995</v>
      </c>
    </row>
    <row r="22" spans="1:5" x14ac:dyDescent="0.25">
      <c r="A22">
        <v>2033</v>
      </c>
      <c r="C22" s="2">
        <f t="shared" si="0"/>
        <v>52.512292505241682</v>
      </c>
      <c r="D22" s="1">
        <f t="shared" si="1"/>
        <v>-12.976731240731318</v>
      </c>
      <c r="E22" s="1">
        <f t="shared" si="2"/>
        <v>118.00131625121469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11</v>
      </c>
      <c r="B1" s="3"/>
      <c r="C1" s="3"/>
      <c r="D1" s="3"/>
      <c r="E1" s="3"/>
    </row>
    <row r="2" spans="1:5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48</v>
      </c>
    </row>
    <row r="4" spans="1:5" x14ac:dyDescent="0.25">
      <c r="A4">
        <v>2015</v>
      </c>
      <c r="B4">
        <v>24</v>
      </c>
    </row>
    <row r="5" spans="1:5" x14ac:dyDescent="0.25">
      <c r="A5">
        <v>2016</v>
      </c>
      <c r="B5">
        <v>33</v>
      </c>
    </row>
    <row r="6" spans="1:5" x14ac:dyDescent="0.25">
      <c r="A6">
        <v>2017</v>
      </c>
      <c r="B6">
        <v>33</v>
      </c>
    </row>
    <row r="7" spans="1:5" x14ac:dyDescent="0.25">
      <c r="A7">
        <v>2018</v>
      </c>
      <c r="B7">
        <v>23</v>
      </c>
    </row>
    <row r="8" spans="1:5" x14ac:dyDescent="0.25">
      <c r="A8">
        <v>2019</v>
      </c>
      <c r="B8">
        <v>29</v>
      </c>
    </row>
    <row r="9" spans="1:5" x14ac:dyDescent="0.25">
      <c r="A9">
        <v>2020</v>
      </c>
      <c r="B9">
        <v>54</v>
      </c>
    </row>
    <row r="10" spans="1:5" x14ac:dyDescent="0.25">
      <c r="A10">
        <v>2021</v>
      </c>
      <c r="B10">
        <v>47</v>
      </c>
    </row>
    <row r="11" spans="1:5" x14ac:dyDescent="0.25">
      <c r="A11">
        <v>2022</v>
      </c>
      <c r="B11">
        <v>22</v>
      </c>
    </row>
    <row r="12" spans="1:5" x14ac:dyDescent="0.25">
      <c r="A12">
        <v>2023</v>
      </c>
      <c r="B12">
        <v>40</v>
      </c>
      <c r="C12">
        <v>40</v>
      </c>
      <c r="D12" s="1">
        <v>40</v>
      </c>
      <c r="E12" s="1">
        <v>40</v>
      </c>
    </row>
    <row r="13" spans="1:5" x14ac:dyDescent="0.25">
      <c r="A13">
        <v>2024</v>
      </c>
      <c r="C13" s="2">
        <f t="shared" ref="C13:C22" si="0">_xlfn.FORECAST.ETS(A13,$B$3:$B$12,$A$3:$A$12,1,1)</f>
        <v>27.230996595917954</v>
      </c>
      <c r="D13" s="1">
        <f t="shared" ref="D13:D22" si="1">C13-_xlfn.FORECAST.ETS.CONFINT(A13,$B$3:$B$12,$A$3:$A$12,0.95,1,1)</f>
        <v>6.4386823859968167</v>
      </c>
      <c r="E13" s="1">
        <f t="shared" ref="E13:E22" si="2">C13+_xlfn.FORECAST.ETS.CONFINT(A13,$B$3:$B$12,$A$3:$A$12,0.95,1,1)</f>
        <v>48.023310805839088</v>
      </c>
    </row>
    <row r="14" spans="1:5" x14ac:dyDescent="0.25">
      <c r="A14">
        <v>2025</v>
      </c>
      <c r="C14" s="2">
        <f t="shared" si="0"/>
        <v>34.738066936309252</v>
      </c>
      <c r="D14" s="1">
        <f t="shared" si="1"/>
        <v>13.295716308326114</v>
      </c>
      <c r="E14" s="1">
        <f t="shared" si="2"/>
        <v>56.180417564292391</v>
      </c>
    </row>
    <row r="15" spans="1:5" x14ac:dyDescent="0.25">
      <c r="A15">
        <v>2026</v>
      </c>
      <c r="C15" s="2">
        <f t="shared" si="0"/>
        <v>45.879633370968406</v>
      </c>
      <c r="D15" s="1">
        <f t="shared" si="1"/>
        <v>23.801436151326527</v>
      </c>
      <c r="E15" s="1">
        <f t="shared" si="2"/>
        <v>67.957830590610286</v>
      </c>
    </row>
    <row r="16" spans="1:5" x14ac:dyDescent="0.25">
      <c r="A16">
        <v>2027</v>
      </c>
      <c r="C16" s="2">
        <f t="shared" si="0"/>
        <v>28.108308875146395</v>
      </c>
      <c r="D16" s="1">
        <f t="shared" si="1"/>
        <v>5.4023972673530771</v>
      </c>
      <c r="E16" s="1">
        <f t="shared" si="2"/>
        <v>50.814220482939717</v>
      </c>
    </row>
    <row r="17" spans="1:5" x14ac:dyDescent="0.25">
      <c r="A17">
        <v>2028</v>
      </c>
      <c r="C17" s="2">
        <f t="shared" si="0"/>
        <v>35.6153792155377</v>
      </c>
      <c r="D17" s="1">
        <f t="shared" si="1"/>
        <v>12.298645923490888</v>
      </c>
      <c r="E17" s="1">
        <f t="shared" si="2"/>
        <v>58.932112507584513</v>
      </c>
    </row>
    <row r="18" spans="1:5" x14ac:dyDescent="0.25">
      <c r="A18">
        <v>2029</v>
      </c>
      <c r="C18" s="2">
        <f t="shared" si="0"/>
        <v>46.756945650196855</v>
      </c>
      <c r="D18" s="1">
        <f t="shared" si="1"/>
        <v>22.840369879976336</v>
      </c>
      <c r="E18" s="1">
        <f t="shared" si="2"/>
        <v>70.673521420417373</v>
      </c>
    </row>
    <row r="19" spans="1:5" x14ac:dyDescent="0.25">
      <c r="A19">
        <v>2030</v>
      </c>
      <c r="C19" s="2">
        <f t="shared" si="0"/>
        <v>28.985621154374837</v>
      </c>
      <c r="D19" s="1">
        <f t="shared" si="1"/>
        <v>4.474816046577903</v>
      </c>
      <c r="E19" s="1">
        <f t="shared" si="2"/>
        <v>53.496426262171767</v>
      </c>
    </row>
    <row r="20" spans="1:5" x14ac:dyDescent="0.25">
      <c r="A20">
        <v>2031</v>
      </c>
      <c r="C20" s="2">
        <f t="shared" si="0"/>
        <v>36.492691494766142</v>
      </c>
      <c r="D20" s="1">
        <f t="shared" si="1"/>
        <v>11.401726238480979</v>
      </c>
      <c r="E20" s="1">
        <f t="shared" si="2"/>
        <v>61.583656751051308</v>
      </c>
    </row>
    <row r="21" spans="1:5" x14ac:dyDescent="0.25">
      <c r="A21">
        <v>2032</v>
      </c>
      <c r="C21" s="2">
        <f t="shared" si="0"/>
        <v>47.634257929425303</v>
      </c>
      <c r="D21" s="1">
        <f t="shared" si="1"/>
        <v>21.971892146775225</v>
      </c>
      <c r="E21" s="1">
        <f t="shared" si="2"/>
        <v>73.296623712075387</v>
      </c>
    </row>
    <row r="22" spans="1:5" x14ac:dyDescent="0.25">
      <c r="A22">
        <v>2033</v>
      </c>
      <c r="C22" s="2">
        <f t="shared" si="0"/>
        <v>29.862933433603285</v>
      </c>
      <c r="D22" s="1">
        <f t="shared" si="1"/>
        <v>3.6330437888418636</v>
      </c>
      <c r="E22" s="1">
        <f t="shared" si="2"/>
        <v>56.092823078364702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" sqref="A2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22</v>
      </c>
      <c r="B1" s="3"/>
      <c r="C1" s="3"/>
      <c r="D1" s="3"/>
      <c r="E1" s="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2015</v>
      </c>
      <c r="B3">
        <v>9</v>
      </c>
    </row>
    <row r="4" spans="1:5" x14ac:dyDescent="0.25">
      <c r="A4">
        <v>2016</v>
      </c>
      <c r="B4">
        <v>8</v>
      </c>
    </row>
    <row r="5" spans="1:5" x14ac:dyDescent="0.25">
      <c r="A5">
        <v>2017</v>
      </c>
      <c r="B5">
        <v>6</v>
      </c>
    </row>
    <row r="6" spans="1:5" x14ac:dyDescent="0.25">
      <c r="A6">
        <v>2018</v>
      </c>
      <c r="B6">
        <v>4</v>
      </c>
    </row>
    <row r="7" spans="1:5" x14ac:dyDescent="0.25">
      <c r="A7">
        <v>2019</v>
      </c>
      <c r="B7">
        <v>4</v>
      </c>
    </row>
    <row r="8" spans="1:5" x14ac:dyDescent="0.25">
      <c r="A8">
        <v>2020</v>
      </c>
      <c r="B8">
        <v>11</v>
      </c>
    </row>
    <row r="9" spans="1:5" x14ac:dyDescent="0.25">
      <c r="A9">
        <v>2021</v>
      </c>
      <c r="B9">
        <v>3</v>
      </c>
    </row>
    <row r="10" spans="1:5" x14ac:dyDescent="0.25">
      <c r="A10">
        <v>2022</v>
      </c>
      <c r="B10">
        <v>5</v>
      </c>
    </row>
    <row r="11" spans="1:5" x14ac:dyDescent="0.25">
      <c r="A11">
        <v>2023</v>
      </c>
      <c r="B11">
        <v>7</v>
      </c>
      <c r="C11">
        <v>7</v>
      </c>
      <c r="D11" s="1">
        <v>7</v>
      </c>
      <c r="E11" s="1">
        <v>7</v>
      </c>
    </row>
    <row r="12" spans="1:5" x14ac:dyDescent="0.25">
      <c r="A12">
        <v>2024</v>
      </c>
      <c r="C12" s="2">
        <f t="shared" ref="C12:C21" si="0">_xlfn.FORECAST.ETS(A12,$B$3:$B$11,$A$3:$A$11,1,1)</f>
        <v>5.4663630296746968</v>
      </c>
      <c r="D12" s="1">
        <f t="shared" ref="D12:D21" si="1">C12-_xlfn.FORECAST.ETS.CONFINT(A12,$B$3:$B$11,$A$3:$A$11,0.95,1,1)</f>
        <v>8.3614648418990356E-2</v>
      </c>
      <c r="E12" s="1">
        <f t="shared" ref="E12:E21" si="2">C12+_xlfn.FORECAST.ETS.CONFINT(A12,$B$3:$B$11,$A$3:$A$11,0.95,1,1)</f>
        <v>10.849111410930403</v>
      </c>
    </row>
    <row r="13" spans="1:5" x14ac:dyDescent="0.25">
      <c r="A13">
        <v>2025</v>
      </c>
      <c r="C13" s="2">
        <f t="shared" si="0"/>
        <v>5.1911254642967197</v>
      </c>
      <c r="D13" s="1">
        <f t="shared" si="1"/>
        <v>-0.23485845214857637</v>
      </c>
      <c r="E13" s="1">
        <f t="shared" si="2"/>
        <v>10.617109380742015</v>
      </c>
    </row>
    <row r="14" spans="1:5" x14ac:dyDescent="0.25">
      <c r="A14">
        <v>2026</v>
      </c>
      <c r="C14" s="2">
        <f t="shared" si="0"/>
        <v>4.9158878989187453</v>
      </c>
      <c r="D14" s="1">
        <f t="shared" si="1"/>
        <v>-0.55366520458704294</v>
      </c>
      <c r="E14" s="1">
        <f t="shared" si="2"/>
        <v>10.385441002424534</v>
      </c>
    </row>
    <row r="15" spans="1:5" x14ac:dyDescent="0.25">
      <c r="A15">
        <v>2027</v>
      </c>
      <c r="C15" s="2">
        <f t="shared" si="0"/>
        <v>4.6406503335407683</v>
      </c>
      <c r="D15" s="1">
        <f t="shared" si="1"/>
        <v>-0.87280295414667641</v>
      </c>
      <c r="E15" s="1">
        <f t="shared" si="2"/>
        <v>10.154103621228213</v>
      </c>
    </row>
    <row r="16" spans="1:5" x14ac:dyDescent="0.25">
      <c r="A16">
        <v>2028</v>
      </c>
      <c r="C16" s="2">
        <f t="shared" si="0"/>
        <v>4.3654127681627939</v>
      </c>
      <c r="D16" s="1">
        <f t="shared" si="1"/>
        <v>-1.1922690705005525</v>
      </c>
      <c r="E16" s="1">
        <f t="shared" si="2"/>
        <v>9.9230946068261403</v>
      </c>
    </row>
    <row r="17" spans="1:5" x14ac:dyDescent="0.25">
      <c r="A17">
        <v>2029</v>
      </c>
      <c r="C17" s="2">
        <f t="shared" si="0"/>
        <v>4.0901752027848159</v>
      </c>
      <c r="D17" s="1">
        <f t="shared" si="1"/>
        <v>-1.5120609483356242</v>
      </c>
      <c r="E17" s="1">
        <f t="shared" si="2"/>
        <v>9.692411353905257</v>
      </c>
    </row>
    <row r="18" spans="1:5" x14ac:dyDescent="0.25">
      <c r="A18">
        <v>2030</v>
      </c>
      <c r="C18" s="2">
        <f t="shared" si="0"/>
        <v>3.814937637406842</v>
      </c>
      <c r="D18" s="1">
        <f t="shared" si="1"/>
        <v>-1.832176007882127</v>
      </c>
      <c r="E18" s="1">
        <f t="shared" si="2"/>
        <v>9.4620512826958105</v>
      </c>
    </row>
    <row r="19" spans="1:5" x14ac:dyDescent="0.25">
      <c r="A19">
        <v>2031</v>
      </c>
      <c r="C19" s="2">
        <f t="shared" si="0"/>
        <v>3.5397000720288645</v>
      </c>
      <c r="D19" s="1">
        <f t="shared" si="1"/>
        <v>-2.1526116953845298</v>
      </c>
      <c r="E19" s="1">
        <f t="shared" si="2"/>
        <v>9.2320118394422579</v>
      </c>
    </row>
    <row r="20" spans="1:5" x14ac:dyDescent="0.25">
      <c r="A20">
        <v>2032</v>
      </c>
      <c r="C20" s="2">
        <f t="shared" si="0"/>
        <v>3.2644625066508905</v>
      </c>
      <c r="D20" s="1">
        <f t="shared" si="1"/>
        <v>-2.473365483516941</v>
      </c>
      <c r="E20" s="1">
        <f t="shared" si="2"/>
        <v>9.0022904968187216</v>
      </c>
    </row>
    <row r="21" spans="1:5" x14ac:dyDescent="0.25">
      <c r="A21">
        <v>2033</v>
      </c>
      <c r="C21" s="2">
        <f t="shared" si="0"/>
        <v>2.989224941272913</v>
      </c>
      <c r="D21" s="1">
        <f t="shared" si="1"/>
        <v>-2.794434871746037</v>
      </c>
      <c r="E21" s="1">
        <f t="shared" si="2"/>
        <v>8.7728847542918622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33" sqref="E33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21</v>
      </c>
      <c r="B1" s="3"/>
      <c r="C1" s="3"/>
    </row>
    <row r="2" spans="1:5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2015</v>
      </c>
      <c r="B3">
        <v>36</v>
      </c>
    </row>
    <row r="4" spans="1:5" x14ac:dyDescent="0.25">
      <c r="A4">
        <v>2016</v>
      </c>
      <c r="B4">
        <v>60</v>
      </c>
    </row>
    <row r="5" spans="1:5" x14ac:dyDescent="0.25">
      <c r="A5">
        <v>2017</v>
      </c>
      <c r="B5">
        <v>40</v>
      </c>
    </row>
    <row r="6" spans="1:5" x14ac:dyDescent="0.25">
      <c r="A6">
        <v>2018</v>
      </c>
      <c r="B6">
        <v>56</v>
      </c>
    </row>
    <row r="7" spans="1:5" x14ac:dyDescent="0.25">
      <c r="A7">
        <v>2019</v>
      </c>
      <c r="B7">
        <v>20</v>
      </c>
    </row>
    <row r="8" spans="1:5" x14ac:dyDescent="0.25">
      <c r="A8">
        <v>2020</v>
      </c>
      <c r="B8">
        <v>36</v>
      </c>
    </row>
    <row r="9" spans="1:5" x14ac:dyDescent="0.25">
      <c r="A9">
        <v>2021</v>
      </c>
      <c r="B9">
        <v>48</v>
      </c>
    </row>
    <row r="10" spans="1:5" x14ac:dyDescent="0.25">
      <c r="A10">
        <v>2022</v>
      </c>
      <c r="B10">
        <v>49</v>
      </c>
    </row>
    <row r="11" spans="1:5" x14ac:dyDescent="0.25">
      <c r="A11">
        <v>2023</v>
      </c>
      <c r="B11">
        <v>36</v>
      </c>
      <c r="C11">
        <v>36</v>
      </c>
      <c r="D11" s="1">
        <v>36</v>
      </c>
      <c r="E11" s="1">
        <v>36</v>
      </c>
    </row>
    <row r="12" spans="1:5" x14ac:dyDescent="0.25">
      <c r="A12">
        <v>2024</v>
      </c>
      <c r="C12" s="2">
        <f t="shared" ref="C12:C21" si="0">_xlfn.FORECAST.ETS(A12,$B$3:$B$11,$A$3:$A$11,1,1)</f>
        <v>36.85841888719542</v>
      </c>
      <c r="D12" s="1">
        <f t="shared" ref="D12:D21" si="1">C12-_xlfn.FORECAST.ETS.CONFINT(A12,$B$3:$B$11,$A$3:$A$11,0.95,1,1)</f>
        <v>10.473710423182439</v>
      </c>
      <c r="E12" s="1">
        <f t="shared" ref="E12:E21" si="2">C12+_xlfn.FORECAST.ETS.CONFINT(A12,$B$3:$B$11,$A$3:$A$11,0.95,1,1)</f>
        <v>63.2431273512084</v>
      </c>
    </row>
    <row r="13" spans="1:5" x14ac:dyDescent="0.25">
      <c r="A13">
        <v>2025</v>
      </c>
      <c r="C13" s="2">
        <f t="shared" si="0"/>
        <v>36.290354084722608</v>
      </c>
      <c r="D13" s="1">
        <f t="shared" si="1"/>
        <v>9.6937172691568527</v>
      </c>
      <c r="E13" s="1">
        <f t="shared" si="2"/>
        <v>62.886990900288367</v>
      </c>
    </row>
    <row r="14" spans="1:5" x14ac:dyDescent="0.25">
      <c r="A14">
        <v>2026</v>
      </c>
      <c r="C14" s="2">
        <f t="shared" si="0"/>
        <v>35.722289282249818</v>
      </c>
      <c r="D14" s="1">
        <f t="shared" si="1"/>
        <v>8.9120886481321406</v>
      </c>
      <c r="E14" s="1">
        <f t="shared" si="2"/>
        <v>62.532489916367496</v>
      </c>
    </row>
    <row r="15" spans="1:5" x14ac:dyDescent="0.25">
      <c r="A15">
        <v>2027</v>
      </c>
      <c r="C15" s="2">
        <f t="shared" si="0"/>
        <v>35.154224479777</v>
      </c>
      <c r="D15" s="1">
        <f t="shared" si="1"/>
        <v>8.1288375729397977</v>
      </c>
      <c r="E15" s="1">
        <f t="shared" si="2"/>
        <v>62.179611386614198</v>
      </c>
    </row>
    <row r="16" spans="1:5" x14ac:dyDescent="0.25">
      <c r="A16">
        <v>2028</v>
      </c>
      <c r="C16" s="2">
        <f t="shared" si="0"/>
        <v>34.586159677304209</v>
      </c>
      <c r="D16" s="1">
        <f t="shared" si="1"/>
        <v>7.3439769366976648</v>
      </c>
      <c r="E16" s="1">
        <f t="shared" si="2"/>
        <v>61.828342417910754</v>
      </c>
    </row>
    <row r="17" spans="1:5" x14ac:dyDescent="0.25">
      <c r="A17">
        <v>2029</v>
      </c>
      <c r="C17" s="2">
        <f t="shared" si="0"/>
        <v>34.018094874831398</v>
      </c>
      <c r="D17" s="1">
        <f t="shared" si="1"/>
        <v>6.5575195099125985</v>
      </c>
      <c r="E17" s="1">
        <f t="shared" si="2"/>
        <v>61.478670239750201</v>
      </c>
    </row>
    <row r="18" spans="1:5" x14ac:dyDescent="0.25">
      <c r="A18">
        <v>2030</v>
      </c>
      <c r="C18" s="2">
        <f t="shared" si="0"/>
        <v>33.450030072358608</v>
      </c>
      <c r="D18" s="1">
        <f t="shared" si="1"/>
        <v>5.7694779378855436</v>
      </c>
      <c r="E18" s="1">
        <f t="shared" si="2"/>
        <v>61.130582206831676</v>
      </c>
    </row>
    <row r="19" spans="1:5" x14ac:dyDescent="0.25">
      <c r="A19">
        <v>2031</v>
      </c>
      <c r="C19" s="2">
        <f t="shared" si="0"/>
        <v>32.881965269885789</v>
      </c>
      <c r="D19" s="1">
        <f t="shared" si="1"/>
        <v>4.9798647384030161</v>
      </c>
      <c r="E19" s="1">
        <f t="shared" si="2"/>
        <v>60.784065801368563</v>
      </c>
    </row>
    <row r="20" spans="1:5" x14ac:dyDescent="0.25">
      <c r="A20">
        <v>2032</v>
      </c>
      <c r="C20" s="2">
        <f t="shared" si="0"/>
        <v>32.313900467412999</v>
      </c>
      <c r="D20" s="1">
        <f t="shared" si="1"/>
        <v>4.1886922997009535</v>
      </c>
      <c r="E20" s="1">
        <f t="shared" si="2"/>
        <v>60.439108635125045</v>
      </c>
    </row>
    <row r="21" spans="1:5" x14ac:dyDescent="0.25">
      <c r="A21">
        <v>2033</v>
      </c>
      <c r="C21" s="2">
        <f t="shared" si="0"/>
        <v>31.745835664940188</v>
      </c>
      <c r="D21" s="1">
        <f t="shared" si="1"/>
        <v>3.3959728786856829</v>
      </c>
      <c r="E21" s="1">
        <f t="shared" si="2"/>
        <v>60.095698451194693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2" sqref="A2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20</v>
      </c>
      <c r="B1" s="3"/>
      <c r="C1" s="3"/>
      <c r="D1" s="3"/>
      <c r="E1" s="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120</v>
      </c>
    </row>
    <row r="4" spans="1:5" x14ac:dyDescent="0.25">
      <c r="A4">
        <v>2015</v>
      </c>
      <c r="B4">
        <v>64</v>
      </c>
    </row>
    <row r="5" spans="1:5" x14ac:dyDescent="0.25">
      <c r="A5">
        <v>2016</v>
      </c>
      <c r="B5">
        <v>82</v>
      </c>
    </row>
    <row r="6" spans="1:5" x14ac:dyDescent="0.25">
      <c r="A6">
        <v>2017</v>
      </c>
      <c r="B6">
        <v>75</v>
      </c>
    </row>
    <row r="7" spans="1:5" x14ac:dyDescent="0.25">
      <c r="A7">
        <v>2018</v>
      </c>
      <c r="B7">
        <v>61</v>
      </c>
    </row>
    <row r="8" spans="1:5" x14ac:dyDescent="0.25">
      <c r="A8">
        <v>2019</v>
      </c>
      <c r="B8">
        <v>56</v>
      </c>
    </row>
    <row r="9" spans="1:5" x14ac:dyDescent="0.25">
      <c r="A9">
        <v>2020</v>
      </c>
      <c r="B9">
        <v>116</v>
      </c>
    </row>
    <row r="10" spans="1:5" x14ac:dyDescent="0.25">
      <c r="A10">
        <v>2021</v>
      </c>
      <c r="B10">
        <v>98</v>
      </c>
    </row>
    <row r="11" spans="1:5" x14ac:dyDescent="0.25">
      <c r="A11">
        <v>2022</v>
      </c>
      <c r="B11">
        <v>99</v>
      </c>
    </row>
    <row r="12" spans="1:5" x14ac:dyDescent="0.25">
      <c r="A12">
        <v>2023</v>
      </c>
      <c r="B12">
        <v>72</v>
      </c>
      <c r="C12" s="2">
        <v>72</v>
      </c>
      <c r="D12" s="1">
        <v>72</v>
      </c>
      <c r="E12" s="1">
        <v>72</v>
      </c>
    </row>
    <row r="13" spans="1:5" x14ac:dyDescent="0.25">
      <c r="A13">
        <v>2024</v>
      </c>
      <c r="C13" s="2">
        <f t="shared" ref="C13:C22" si="0">_xlfn.FORECAST.ETS(A13,$B$3:$B$12,$A$3:$A$12,4,1)</f>
        <v>121.12568153963019</v>
      </c>
      <c r="D13" s="1">
        <f t="shared" ref="D13:D22" si="1">C13-_xlfn.FORECAST.ETS.CONFINT(A13,$B$3:$B$12,$A$3:$A$12,0.95,4,1)</f>
        <v>76.28740007433754</v>
      </c>
      <c r="E13" s="1">
        <f t="shared" ref="E13:E22" si="2">C13+_xlfn.FORECAST.ETS.CONFINT(A13,$B$3:$B$12,$A$3:$A$12,0.95,4,1)</f>
        <v>165.96396300492285</v>
      </c>
    </row>
    <row r="14" spans="1:5" x14ac:dyDescent="0.25">
      <c r="A14">
        <v>2025</v>
      </c>
      <c r="C14" s="2">
        <f t="shared" si="0"/>
        <v>109.60939667750054</v>
      </c>
      <c r="D14" s="1">
        <f t="shared" si="1"/>
        <v>53.534630403913752</v>
      </c>
      <c r="E14" s="1">
        <f t="shared" si="2"/>
        <v>165.68416295108733</v>
      </c>
    </row>
    <row r="15" spans="1:5" x14ac:dyDescent="0.25">
      <c r="A15">
        <v>2026</v>
      </c>
      <c r="C15" s="2">
        <f t="shared" si="0"/>
        <v>101.313261324064</v>
      </c>
      <c r="D15" s="1">
        <f t="shared" si="1"/>
        <v>35.881548224409016</v>
      </c>
      <c r="E15" s="1">
        <f t="shared" si="2"/>
        <v>166.74497442371899</v>
      </c>
    </row>
    <row r="16" spans="1:5" x14ac:dyDescent="0.25">
      <c r="A16">
        <v>2027</v>
      </c>
      <c r="C16" s="2">
        <f t="shared" si="0"/>
        <v>84.066014183129013</v>
      </c>
      <c r="D16" s="1">
        <f t="shared" si="1"/>
        <v>10.436777427215929</v>
      </c>
      <c r="E16" s="1">
        <f t="shared" si="2"/>
        <v>157.6952509390421</v>
      </c>
    </row>
    <row r="17" spans="1:5" x14ac:dyDescent="0.25">
      <c r="A17">
        <v>2028</v>
      </c>
      <c r="C17" s="2">
        <f t="shared" si="0"/>
        <v>133.17870854032932</v>
      </c>
      <c r="D17" s="1">
        <f t="shared" si="1"/>
        <v>46.901151127227763</v>
      </c>
      <c r="E17" s="1">
        <f t="shared" si="2"/>
        <v>219.45626595343089</v>
      </c>
    </row>
    <row r="18" spans="1:5" x14ac:dyDescent="0.25">
      <c r="A18">
        <v>2029</v>
      </c>
      <c r="C18" s="2">
        <f t="shared" si="0"/>
        <v>121.66242367819966</v>
      </c>
      <c r="D18" s="1">
        <f t="shared" si="1"/>
        <v>28.981055964554997</v>
      </c>
      <c r="E18" s="1">
        <f t="shared" si="2"/>
        <v>214.34379139184432</v>
      </c>
    </row>
    <row r="19" spans="1:5" x14ac:dyDescent="0.25">
      <c r="A19">
        <v>2030</v>
      </c>
      <c r="C19" s="2">
        <f t="shared" si="0"/>
        <v>113.36628832476313</v>
      </c>
      <c r="D19" s="1">
        <f t="shared" si="1"/>
        <v>14.680459799153297</v>
      </c>
      <c r="E19" s="1">
        <f t="shared" si="2"/>
        <v>212.05211685037295</v>
      </c>
    </row>
    <row r="20" spans="1:5" x14ac:dyDescent="0.25">
      <c r="A20">
        <v>2031</v>
      </c>
      <c r="C20" s="2">
        <f t="shared" si="0"/>
        <v>96.119041183828131</v>
      </c>
      <c r="D20" s="1">
        <f t="shared" si="1"/>
        <v>-8.2408717408996495</v>
      </c>
      <c r="E20" s="1">
        <f t="shared" si="2"/>
        <v>200.47895410855591</v>
      </c>
    </row>
    <row r="21" spans="1:5" x14ac:dyDescent="0.25">
      <c r="A21">
        <v>2032</v>
      </c>
      <c r="C21" s="2">
        <f t="shared" si="0"/>
        <v>145.23173554102846</v>
      </c>
      <c r="D21" s="1">
        <f t="shared" si="1"/>
        <v>31.522861550002688</v>
      </c>
      <c r="E21" s="1">
        <f t="shared" si="2"/>
        <v>258.94060953205422</v>
      </c>
    </row>
    <row r="22" spans="1:5" x14ac:dyDescent="0.25">
      <c r="A22">
        <v>2033</v>
      </c>
      <c r="C22" s="2">
        <f t="shared" si="0"/>
        <v>133.71545067889878</v>
      </c>
      <c r="D22" s="1">
        <f t="shared" si="1"/>
        <v>15.022980624057183</v>
      </c>
      <c r="E22" s="1">
        <f t="shared" si="2"/>
        <v>252.40792073374035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4" t="s">
        <v>19</v>
      </c>
      <c r="B1" s="4"/>
      <c r="C1" s="4"/>
      <c r="D1" s="4"/>
      <c r="E1" s="4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161</v>
      </c>
    </row>
    <row r="4" spans="1:5" x14ac:dyDescent="0.25">
      <c r="A4">
        <v>2015</v>
      </c>
      <c r="B4">
        <v>214</v>
      </c>
    </row>
    <row r="5" spans="1:5" x14ac:dyDescent="0.25">
      <c r="A5">
        <v>2016</v>
      </c>
      <c r="B5">
        <v>202</v>
      </c>
    </row>
    <row r="6" spans="1:5" x14ac:dyDescent="0.25">
      <c r="A6">
        <v>2017</v>
      </c>
      <c r="B6">
        <v>121</v>
      </c>
    </row>
    <row r="7" spans="1:5" x14ac:dyDescent="0.25">
      <c r="A7">
        <v>2018</v>
      </c>
      <c r="B7">
        <v>160</v>
      </c>
    </row>
    <row r="8" spans="1:5" x14ac:dyDescent="0.25">
      <c r="A8">
        <v>2019</v>
      </c>
      <c r="B8">
        <v>116</v>
      </c>
    </row>
    <row r="9" spans="1:5" x14ac:dyDescent="0.25">
      <c r="A9">
        <v>2020</v>
      </c>
      <c r="B9">
        <v>120</v>
      </c>
    </row>
    <row r="10" spans="1:5" x14ac:dyDescent="0.25">
      <c r="A10">
        <v>2021</v>
      </c>
      <c r="B10">
        <v>100</v>
      </c>
    </row>
    <row r="11" spans="1:5" x14ac:dyDescent="0.25">
      <c r="A11">
        <v>2022</v>
      </c>
      <c r="B11">
        <v>117</v>
      </c>
    </row>
    <row r="12" spans="1:5" x14ac:dyDescent="0.25">
      <c r="A12">
        <v>2023</v>
      </c>
      <c r="B12">
        <v>96</v>
      </c>
      <c r="C12" s="2">
        <v>96</v>
      </c>
      <c r="D12" s="1">
        <v>96</v>
      </c>
      <c r="E12" s="1">
        <v>96</v>
      </c>
    </row>
    <row r="13" spans="1:5" x14ac:dyDescent="0.25">
      <c r="A13">
        <v>2024</v>
      </c>
      <c r="C13" s="2">
        <f t="shared" ref="C13:C22" si="0">_xlfn.FORECAST.ETS(A13,$B$3:$B$12,$A$3:$A$12,3,1)</f>
        <v>82.35796438675294</v>
      </c>
      <c r="D13" s="1">
        <f t="shared" ref="D13:D22" si="1">C13-_xlfn.FORECAST.ETS.CONFINT(A13,$B$3:$B$12,$A$3:$A$12,0.95,3,1)</f>
        <v>34.507551263617792</v>
      </c>
      <c r="E13" s="1">
        <f t="shared" ref="E13:E22" si="2">C13+_xlfn.FORECAST.ETS.CONFINT(A13,$B$3:$B$12,$A$3:$A$12,0.95,3,1)</f>
        <v>130.20837750988809</v>
      </c>
    </row>
    <row r="14" spans="1:5" x14ac:dyDescent="0.25">
      <c r="A14">
        <v>2025</v>
      </c>
      <c r="C14" s="2">
        <f t="shared" si="0"/>
        <v>78.900096382478608</v>
      </c>
      <c r="D14" s="1">
        <f t="shared" si="1"/>
        <v>31.049467932968888</v>
      </c>
      <c r="E14" s="1">
        <f t="shared" si="2"/>
        <v>126.75072483198832</v>
      </c>
    </row>
    <row r="15" spans="1:5" x14ac:dyDescent="0.25">
      <c r="A15">
        <v>2026</v>
      </c>
      <c r="C15" s="2">
        <f t="shared" si="0"/>
        <v>49.538964361389219</v>
      </c>
      <c r="D15" s="1">
        <f t="shared" si="1"/>
        <v>1.6879531118282998</v>
      </c>
      <c r="E15" s="1">
        <f t="shared" si="2"/>
        <v>97.389975610950131</v>
      </c>
    </row>
    <row r="16" spans="1:5" x14ac:dyDescent="0.25">
      <c r="A16">
        <v>2027</v>
      </c>
      <c r="C16" s="2">
        <f t="shared" si="0"/>
        <v>48.371046182343697</v>
      </c>
      <c r="D16" s="1">
        <f t="shared" si="1"/>
        <v>-5.2352998818160685</v>
      </c>
      <c r="E16" s="1">
        <f t="shared" si="2"/>
        <v>101.97739224650346</v>
      </c>
    </row>
    <row r="17" spans="1:5" x14ac:dyDescent="0.25">
      <c r="A17">
        <v>2028</v>
      </c>
      <c r="C17" s="2">
        <f t="shared" si="0"/>
        <v>44.913178178069373</v>
      </c>
      <c r="D17" s="1">
        <f t="shared" si="1"/>
        <v>-8.6939367059061965</v>
      </c>
      <c r="E17" s="1">
        <f t="shared" si="2"/>
        <v>98.520293062044942</v>
      </c>
    </row>
    <row r="18" spans="1:5" x14ac:dyDescent="0.25">
      <c r="A18">
        <v>2029</v>
      </c>
      <c r="C18" s="2">
        <f t="shared" si="0"/>
        <v>15.552046156979973</v>
      </c>
      <c r="D18" s="1">
        <f t="shared" si="1"/>
        <v>-38.056115158471997</v>
      </c>
      <c r="E18" s="1">
        <f t="shared" si="2"/>
        <v>69.160207472431949</v>
      </c>
    </row>
    <row r="19" spans="1:5" x14ac:dyDescent="0.25">
      <c r="A19">
        <v>2030</v>
      </c>
      <c r="C19" s="2">
        <f t="shared" si="0"/>
        <v>14.384127977934451</v>
      </c>
      <c r="D19" s="1">
        <f t="shared" si="1"/>
        <v>-44.477695841039619</v>
      </c>
      <c r="E19" s="1">
        <f t="shared" si="2"/>
        <v>73.245951796908514</v>
      </c>
    </row>
    <row r="20" spans="1:5" x14ac:dyDescent="0.25">
      <c r="A20">
        <v>2031</v>
      </c>
      <c r="C20" s="2">
        <f t="shared" si="0"/>
        <v>10.926259973660127</v>
      </c>
      <c r="D20" s="1">
        <f t="shared" si="1"/>
        <v>-47.937139230946315</v>
      </c>
      <c r="E20" s="1">
        <f t="shared" si="2"/>
        <v>69.789659178266575</v>
      </c>
    </row>
    <row r="21" spans="1:5" x14ac:dyDescent="0.25">
      <c r="A21">
        <v>2032</v>
      </c>
      <c r="C21" s="2">
        <f t="shared" si="0"/>
        <v>-18.434872047429263</v>
      </c>
      <c r="D21" s="1">
        <f t="shared" si="1"/>
        <v>-77.300216114413786</v>
      </c>
      <c r="E21" s="1">
        <f t="shared" si="2"/>
        <v>40.430472019555253</v>
      </c>
    </row>
    <row r="22" spans="1:5" x14ac:dyDescent="0.25">
      <c r="A22">
        <v>2033</v>
      </c>
      <c r="C22" s="2">
        <f t="shared" si="0"/>
        <v>-19.602790226474784</v>
      </c>
      <c r="D22" s="1">
        <f t="shared" si="1"/>
        <v>-83.344515749409211</v>
      </c>
      <c r="E22" s="1">
        <f t="shared" si="2"/>
        <v>44.13893529645965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2" sqref="A2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18</v>
      </c>
      <c r="B1" s="3"/>
      <c r="C1" s="3"/>
      <c r="D1" s="3"/>
      <c r="E1" s="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11</v>
      </c>
    </row>
    <row r="4" spans="1:5" x14ac:dyDescent="0.25">
      <c r="A4">
        <v>2015</v>
      </c>
      <c r="B4">
        <v>20</v>
      </c>
    </row>
    <row r="5" spans="1:5" x14ac:dyDescent="0.25">
      <c r="A5">
        <v>2016</v>
      </c>
      <c r="B5">
        <v>28</v>
      </c>
    </row>
    <row r="6" spans="1:5" x14ac:dyDescent="0.25">
      <c r="A6">
        <v>2017</v>
      </c>
      <c r="B6">
        <v>33</v>
      </c>
    </row>
    <row r="7" spans="1:5" x14ac:dyDescent="0.25">
      <c r="A7">
        <v>2018</v>
      </c>
      <c r="B7">
        <v>35</v>
      </c>
    </row>
    <row r="8" spans="1:5" x14ac:dyDescent="0.25">
      <c r="A8">
        <v>2019</v>
      </c>
      <c r="B8">
        <v>44</v>
      </c>
    </row>
    <row r="9" spans="1:5" x14ac:dyDescent="0.25">
      <c r="A9">
        <v>2020</v>
      </c>
      <c r="B9">
        <v>42</v>
      </c>
    </row>
    <row r="10" spans="1:5" x14ac:dyDescent="0.25">
      <c r="A10">
        <v>2021</v>
      </c>
      <c r="B10">
        <v>48</v>
      </c>
    </row>
    <row r="11" spans="1:5" x14ac:dyDescent="0.25">
      <c r="A11">
        <v>2022</v>
      </c>
      <c r="B11">
        <v>40</v>
      </c>
    </row>
    <row r="12" spans="1:5" x14ac:dyDescent="0.25">
      <c r="A12">
        <v>2023</v>
      </c>
      <c r="B12">
        <v>39</v>
      </c>
      <c r="C12">
        <v>39</v>
      </c>
      <c r="D12" s="1">
        <v>39</v>
      </c>
      <c r="E12" s="1">
        <v>39</v>
      </c>
    </row>
    <row r="13" spans="1:5" x14ac:dyDescent="0.25">
      <c r="A13">
        <v>2024</v>
      </c>
      <c r="C13">
        <f t="shared" ref="C13:C22" si="0">_xlfn.FORECAST.ETS(A13,$B$3:$B$12,$A$3:$A$12,1,1)</f>
        <v>42.2</v>
      </c>
      <c r="D13" s="1">
        <f t="shared" ref="D13:D22" si="1">C13-_xlfn.FORECAST.ETS.CONFINT(A13,$B$3:$B$12,$A$3:$A$12,0.95,1,1)</f>
        <v>32.300276603745253</v>
      </c>
      <c r="E13" s="1">
        <f t="shared" ref="E13:E22" si="2">C13+_xlfn.FORECAST.ETS.CONFINT(A13,$B$3:$B$12,$A$3:$A$12,0.95,1,1)</f>
        <v>52.099723396254753</v>
      </c>
    </row>
    <row r="14" spans="1:5" x14ac:dyDescent="0.25">
      <c r="A14">
        <v>2025</v>
      </c>
      <c r="C14">
        <f t="shared" si="0"/>
        <v>45.4</v>
      </c>
      <c r="D14" s="1">
        <f t="shared" si="1"/>
        <v>34.327341932454161</v>
      </c>
      <c r="E14" s="1">
        <f t="shared" si="2"/>
        <v>56.472658067545837</v>
      </c>
    </row>
    <row r="15" spans="1:5" x14ac:dyDescent="0.25">
      <c r="A15">
        <v>2026</v>
      </c>
      <c r="C15">
        <f t="shared" si="0"/>
        <v>48.6</v>
      </c>
      <c r="D15" s="1">
        <f t="shared" si="1"/>
        <v>36.463225775515383</v>
      </c>
      <c r="E15" s="1">
        <f t="shared" si="2"/>
        <v>60.73677422448462</v>
      </c>
    </row>
    <row r="16" spans="1:5" x14ac:dyDescent="0.25">
      <c r="A16">
        <v>2027</v>
      </c>
      <c r="C16">
        <f t="shared" si="0"/>
        <v>51.8</v>
      </c>
      <c r="D16" s="1">
        <f t="shared" si="1"/>
        <v>38.681413375771768</v>
      </c>
      <c r="E16" s="1">
        <f t="shared" si="2"/>
        <v>64.918586624228226</v>
      </c>
    </row>
    <row r="17" spans="1:5" x14ac:dyDescent="0.25">
      <c r="A17">
        <v>2028</v>
      </c>
      <c r="C17">
        <f t="shared" si="0"/>
        <v>55</v>
      </c>
      <c r="D17" s="1">
        <f t="shared" si="1"/>
        <v>40.964615003013606</v>
      </c>
      <c r="E17" s="1">
        <f t="shared" si="2"/>
        <v>69.035384996986394</v>
      </c>
    </row>
    <row r="18" spans="1:5" x14ac:dyDescent="0.25">
      <c r="A18">
        <v>2029</v>
      </c>
      <c r="C18">
        <f t="shared" si="0"/>
        <v>58.2</v>
      </c>
      <c r="D18" s="1">
        <f t="shared" si="1"/>
        <v>43.30081762062381</v>
      </c>
      <c r="E18" s="1">
        <f t="shared" si="2"/>
        <v>73.099182379376188</v>
      </c>
    </row>
    <row r="19" spans="1:5" x14ac:dyDescent="0.25">
      <c r="A19">
        <v>2030</v>
      </c>
      <c r="C19">
        <f t="shared" si="0"/>
        <v>61.400000000000006</v>
      </c>
      <c r="D19" s="1">
        <f t="shared" si="1"/>
        <v>45.68127480654757</v>
      </c>
      <c r="E19" s="1">
        <f t="shared" si="2"/>
        <v>77.118725193452434</v>
      </c>
    </row>
    <row r="20" spans="1:5" x14ac:dyDescent="0.25">
      <c r="A20">
        <v>2031</v>
      </c>
      <c r="C20">
        <f t="shared" si="0"/>
        <v>64.599999999999994</v>
      </c>
      <c r="D20" s="1">
        <f t="shared" si="1"/>
        <v>48.099385271367495</v>
      </c>
      <c r="E20" s="1">
        <f t="shared" si="2"/>
        <v>81.100614728632493</v>
      </c>
    </row>
    <row r="21" spans="1:5" x14ac:dyDescent="0.25">
      <c r="A21">
        <v>2032</v>
      </c>
      <c r="C21">
        <f t="shared" si="0"/>
        <v>67.8</v>
      </c>
      <c r="D21" s="1">
        <f t="shared" si="1"/>
        <v>50.550022442639992</v>
      </c>
      <c r="E21" s="1">
        <f t="shared" si="2"/>
        <v>85.049977557359995</v>
      </c>
    </row>
    <row r="22" spans="1:5" x14ac:dyDescent="0.25">
      <c r="A22">
        <v>2033</v>
      </c>
      <c r="C22">
        <f t="shared" si="0"/>
        <v>71</v>
      </c>
      <c r="D22" s="1">
        <f t="shared" si="1"/>
        <v>53.029111439989883</v>
      </c>
      <c r="E22" s="1">
        <f t="shared" si="2"/>
        <v>88.97088856001011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2" sqref="A2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17</v>
      </c>
      <c r="B1" s="3"/>
      <c r="C1" s="3"/>
      <c r="D1" s="3"/>
      <c r="E1" s="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112</v>
      </c>
    </row>
    <row r="4" spans="1:5" x14ac:dyDescent="0.25">
      <c r="A4">
        <v>2015</v>
      </c>
      <c r="B4">
        <v>73</v>
      </c>
    </row>
    <row r="5" spans="1:5" x14ac:dyDescent="0.25">
      <c r="A5">
        <v>2016</v>
      </c>
      <c r="B5">
        <v>76</v>
      </c>
    </row>
    <row r="6" spans="1:5" x14ac:dyDescent="0.25">
      <c r="A6">
        <v>2017</v>
      </c>
      <c r="B6">
        <v>53</v>
      </c>
    </row>
    <row r="7" spans="1:5" x14ac:dyDescent="0.25">
      <c r="A7">
        <v>2018</v>
      </c>
      <c r="B7">
        <v>51</v>
      </c>
    </row>
    <row r="8" spans="1:5" x14ac:dyDescent="0.25">
      <c r="A8">
        <v>2019</v>
      </c>
      <c r="B8">
        <v>29</v>
      </c>
    </row>
    <row r="9" spans="1:5" x14ac:dyDescent="0.25">
      <c r="A9">
        <v>2020</v>
      </c>
      <c r="B9">
        <v>71</v>
      </c>
    </row>
    <row r="10" spans="1:5" x14ac:dyDescent="0.25">
      <c r="A10">
        <v>2021</v>
      </c>
      <c r="B10">
        <v>71</v>
      </c>
    </row>
    <row r="11" spans="1:5" x14ac:dyDescent="0.25">
      <c r="A11">
        <v>2022</v>
      </c>
      <c r="B11">
        <v>74</v>
      </c>
    </row>
    <row r="12" spans="1:5" x14ac:dyDescent="0.25">
      <c r="A12">
        <v>2023</v>
      </c>
      <c r="B12">
        <v>32</v>
      </c>
      <c r="C12">
        <v>32</v>
      </c>
      <c r="D12" s="1">
        <v>32</v>
      </c>
      <c r="E12" s="1">
        <v>32</v>
      </c>
    </row>
    <row r="13" spans="1:5" x14ac:dyDescent="0.25">
      <c r="A13">
        <v>2024</v>
      </c>
      <c r="C13" s="2">
        <f t="shared" ref="C13:C22" si="0">_xlfn.FORECAST.ETS(A13,$B$3:$B$12,$A$3:$A$12,4,1)</f>
        <v>66.790795052574111</v>
      </c>
      <c r="D13" s="1">
        <f t="shared" ref="D13:D22" si="1">C13-_xlfn.FORECAST.ETS.CONFINT(A13,$B$3:$B$12,$A$3:$A$12,0.95,4,1)</f>
        <v>31.498245598717112</v>
      </c>
      <c r="E13" s="1">
        <f t="shared" ref="E13:E22" si="2">C13+_xlfn.FORECAST.ETS.CONFINT(A13,$B$3:$B$12,$A$3:$A$12,0.95,4,1)</f>
        <v>102.0833445064311</v>
      </c>
    </row>
    <row r="14" spans="1:5" x14ac:dyDescent="0.25">
      <c r="A14">
        <v>2025</v>
      </c>
      <c r="C14" s="2">
        <f t="shared" si="0"/>
        <v>52.315615990965469</v>
      </c>
      <c r="D14" s="1">
        <f t="shared" si="1"/>
        <v>8.1787446134148283</v>
      </c>
      <c r="E14" s="1">
        <f t="shared" si="2"/>
        <v>96.452487368516103</v>
      </c>
    </row>
    <row r="15" spans="1:5" x14ac:dyDescent="0.25">
      <c r="A15">
        <v>2026</v>
      </c>
      <c r="C15" s="2">
        <f t="shared" si="0"/>
        <v>49.504176608750434</v>
      </c>
      <c r="D15" s="1">
        <f t="shared" si="1"/>
        <v>-1.99761817363094</v>
      </c>
      <c r="E15" s="1">
        <f t="shared" si="2"/>
        <v>101.00597139113181</v>
      </c>
    </row>
    <row r="16" spans="1:5" x14ac:dyDescent="0.25">
      <c r="A16">
        <v>2027</v>
      </c>
      <c r="C16" s="2">
        <f t="shared" si="0"/>
        <v>25.613325654018784</v>
      </c>
      <c r="D16" s="1">
        <f t="shared" si="1"/>
        <v>-32.34080181336067</v>
      </c>
      <c r="E16" s="1">
        <f t="shared" si="2"/>
        <v>83.567453121398245</v>
      </c>
    </row>
    <row r="17" spans="1:5" x14ac:dyDescent="0.25">
      <c r="A17">
        <v>2028</v>
      </c>
      <c r="C17" s="2">
        <f t="shared" si="0"/>
        <v>60.379985497387793</v>
      </c>
      <c r="D17" s="1">
        <f t="shared" si="1"/>
        <v>-7.5297305365962472</v>
      </c>
      <c r="E17" s="1">
        <f t="shared" si="2"/>
        <v>128.28970153137183</v>
      </c>
    </row>
    <row r="18" spans="1:5" x14ac:dyDescent="0.25">
      <c r="A18">
        <v>2029</v>
      </c>
      <c r="C18" s="2">
        <f t="shared" si="0"/>
        <v>45.904806435779165</v>
      </c>
      <c r="D18" s="1">
        <f t="shared" si="1"/>
        <v>-27.045396975045534</v>
      </c>
      <c r="E18" s="1">
        <f t="shared" si="2"/>
        <v>118.85500984660386</v>
      </c>
    </row>
    <row r="19" spans="1:5" x14ac:dyDescent="0.25">
      <c r="A19">
        <v>2030</v>
      </c>
      <c r="C19" s="2">
        <f t="shared" si="0"/>
        <v>43.093367053564123</v>
      </c>
      <c r="D19" s="1">
        <f t="shared" si="1"/>
        <v>-34.582992740262441</v>
      </c>
      <c r="E19" s="1">
        <f t="shared" si="2"/>
        <v>120.76972684739069</v>
      </c>
    </row>
    <row r="20" spans="1:5" x14ac:dyDescent="0.25">
      <c r="A20">
        <v>2031</v>
      </c>
      <c r="C20" s="2">
        <f t="shared" si="0"/>
        <v>19.202516098832472</v>
      </c>
      <c r="D20" s="1">
        <f t="shared" si="1"/>
        <v>-62.93995831217083</v>
      </c>
      <c r="E20" s="1">
        <f t="shared" si="2"/>
        <v>101.34499050983578</v>
      </c>
    </row>
    <row r="21" spans="1:5" x14ac:dyDescent="0.25">
      <c r="A21">
        <v>2032</v>
      </c>
      <c r="C21" s="2">
        <f t="shared" si="0"/>
        <v>53.969175942201481</v>
      </c>
      <c r="D21" s="1">
        <f t="shared" si="1"/>
        <v>-35.531936221899137</v>
      </c>
      <c r="E21" s="1">
        <f t="shared" si="2"/>
        <v>143.47028810630209</v>
      </c>
    </row>
    <row r="22" spans="1:5" x14ac:dyDescent="0.25">
      <c r="A22">
        <v>2033</v>
      </c>
      <c r="C22" s="2">
        <f t="shared" si="0"/>
        <v>39.493996880592846</v>
      </c>
      <c r="D22" s="1">
        <f t="shared" si="1"/>
        <v>-53.929741325195167</v>
      </c>
      <c r="E22" s="1">
        <f t="shared" si="2"/>
        <v>132.91773508638084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" sqref="A2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3" t="s">
        <v>16</v>
      </c>
      <c r="B1" s="3"/>
      <c r="C1" s="3"/>
      <c r="D1" s="3"/>
      <c r="E1" s="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2016</v>
      </c>
      <c r="B3">
        <v>19</v>
      </c>
    </row>
    <row r="4" spans="1:5" x14ac:dyDescent="0.25">
      <c r="A4">
        <v>2017</v>
      </c>
      <c r="B4">
        <v>20</v>
      </c>
    </row>
    <row r="5" spans="1:5" x14ac:dyDescent="0.25">
      <c r="A5">
        <v>2018</v>
      </c>
      <c r="B5">
        <v>30</v>
      </c>
    </row>
    <row r="6" spans="1:5" x14ac:dyDescent="0.25">
      <c r="A6">
        <v>2019</v>
      </c>
      <c r="B6">
        <v>24</v>
      </c>
    </row>
    <row r="7" spans="1:5" x14ac:dyDescent="0.25">
      <c r="A7">
        <v>2020</v>
      </c>
      <c r="B7">
        <v>32</v>
      </c>
    </row>
    <row r="8" spans="1:5" x14ac:dyDescent="0.25">
      <c r="A8">
        <v>2021</v>
      </c>
      <c r="B8">
        <v>62</v>
      </c>
    </row>
    <row r="9" spans="1:5" x14ac:dyDescent="0.25">
      <c r="A9">
        <v>2022</v>
      </c>
      <c r="B9">
        <v>33</v>
      </c>
    </row>
    <row r="10" spans="1:5" x14ac:dyDescent="0.25">
      <c r="A10">
        <v>2023</v>
      </c>
      <c r="B10">
        <v>18</v>
      </c>
      <c r="C10">
        <v>18</v>
      </c>
      <c r="D10" s="1">
        <v>18</v>
      </c>
      <c r="E10" s="1">
        <v>18</v>
      </c>
    </row>
    <row r="11" spans="1:5" x14ac:dyDescent="0.25">
      <c r="A11">
        <v>2024</v>
      </c>
      <c r="C11" s="2">
        <f t="shared" ref="C11:C20" si="0">_xlfn.FORECAST.ETS(A11,$B$3:$B$10,$A$3:$A$10,4,1)</f>
        <v>41.013371079522138</v>
      </c>
      <c r="D11" s="1">
        <f t="shared" ref="D11:D20" si="1">C11-_xlfn.FORECAST.ETS.CONFINT(A11,$B$3:$B$10,$A$3:$A$10,0.95,4,1)</f>
        <v>20.51474329677367</v>
      </c>
      <c r="E11" s="1">
        <f t="shared" ref="E11:E20" si="2">C11+_xlfn.FORECAST.ETS.CONFINT(A11,$B$3:$B$10,$A$3:$A$10,0.95,4,1)</f>
        <v>61.511998862270602</v>
      </c>
    </row>
    <row r="12" spans="1:5" x14ac:dyDescent="0.25">
      <c r="A12">
        <v>2025</v>
      </c>
      <c r="C12" s="2">
        <f t="shared" si="0"/>
        <v>56.134459954014353</v>
      </c>
      <c r="D12" s="1">
        <f t="shared" si="1"/>
        <v>35.471182241515208</v>
      </c>
      <c r="E12" s="1">
        <f t="shared" si="2"/>
        <v>76.797737666513498</v>
      </c>
    </row>
    <row r="13" spans="1:5" x14ac:dyDescent="0.25">
      <c r="A13">
        <v>2026</v>
      </c>
      <c r="C13" s="2">
        <f t="shared" si="0"/>
        <v>46.255447988410253</v>
      </c>
      <c r="D13" s="1">
        <f t="shared" si="1"/>
        <v>25.426249730291698</v>
      </c>
      <c r="E13" s="1">
        <f t="shared" si="2"/>
        <v>67.084646246528806</v>
      </c>
    </row>
    <row r="14" spans="1:5" x14ac:dyDescent="0.25">
      <c r="A14">
        <v>2027</v>
      </c>
      <c r="C14" s="2">
        <f t="shared" si="0"/>
        <v>44.857410525469383</v>
      </c>
      <c r="D14" s="1">
        <f t="shared" si="1"/>
        <v>23.861031215703015</v>
      </c>
      <c r="E14" s="1">
        <f t="shared" si="2"/>
        <v>65.853789835235744</v>
      </c>
    </row>
    <row r="15" spans="1:5" x14ac:dyDescent="0.25">
      <c r="A15">
        <v>2028</v>
      </c>
      <c r="C15" s="2">
        <f t="shared" si="0"/>
        <v>52.495743842102371</v>
      </c>
      <c r="D15" s="1">
        <f t="shared" si="1"/>
        <v>31.32834227959431</v>
      </c>
      <c r="E15" s="1">
        <f t="shared" si="2"/>
        <v>73.663145404610432</v>
      </c>
    </row>
    <row r="16" spans="1:5" x14ac:dyDescent="0.25">
      <c r="A16">
        <v>2029</v>
      </c>
      <c r="C16" s="2">
        <f t="shared" si="0"/>
        <v>67.616832716594587</v>
      </c>
      <c r="D16" s="1">
        <f t="shared" si="1"/>
        <v>46.279779646937754</v>
      </c>
      <c r="E16" s="1">
        <f t="shared" si="2"/>
        <v>88.953885786251419</v>
      </c>
    </row>
    <row r="17" spans="1:5" x14ac:dyDescent="0.25">
      <c r="A17">
        <v>2030</v>
      </c>
      <c r="C17" s="2">
        <f t="shared" si="0"/>
        <v>57.737820750990494</v>
      </c>
      <c r="D17" s="1">
        <f t="shared" si="1"/>
        <v>36.229885251735524</v>
      </c>
      <c r="E17" s="1">
        <f t="shared" si="2"/>
        <v>79.245756250245464</v>
      </c>
    </row>
    <row r="18" spans="1:5" x14ac:dyDescent="0.25">
      <c r="A18">
        <v>2031</v>
      </c>
      <c r="C18" s="2">
        <f t="shared" si="0"/>
        <v>56.339783288049617</v>
      </c>
      <c r="D18" s="1">
        <f t="shared" si="1"/>
        <v>34.659744161603584</v>
      </c>
      <c r="E18" s="1">
        <f t="shared" si="2"/>
        <v>78.01982241449565</v>
      </c>
    </row>
    <row r="19" spans="1:5" x14ac:dyDescent="0.25">
      <c r="A19">
        <v>2032</v>
      </c>
      <c r="C19" s="2">
        <f t="shared" si="0"/>
        <v>63.978116604682612</v>
      </c>
      <c r="D19" s="1">
        <f t="shared" si="1"/>
        <v>42.122176280516456</v>
      </c>
      <c r="E19" s="1">
        <f t="shared" si="2"/>
        <v>85.834056928848767</v>
      </c>
    </row>
    <row r="20" spans="1:5" x14ac:dyDescent="0.25">
      <c r="A20">
        <v>2033</v>
      </c>
      <c r="C20" s="2">
        <f t="shared" si="0"/>
        <v>79.099205479174827</v>
      </c>
      <c r="D20" s="1">
        <f t="shared" si="1"/>
        <v>57.068768389030794</v>
      </c>
      <c r="E20" s="1">
        <f t="shared" si="2"/>
        <v>101.12964256931886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1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4" t="s">
        <v>15</v>
      </c>
      <c r="B1" s="4"/>
      <c r="C1" s="4"/>
      <c r="D1" s="4"/>
      <c r="E1" s="4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2015</v>
      </c>
      <c r="B3">
        <v>9</v>
      </c>
    </row>
    <row r="4" spans="1:5" x14ac:dyDescent="0.25">
      <c r="A4">
        <v>2016</v>
      </c>
      <c r="B4">
        <v>6</v>
      </c>
    </row>
    <row r="5" spans="1:5" x14ac:dyDescent="0.25">
      <c r="A5">
        <v>2017</v>
      </c>
      <c r="B5">
        <v>16</v>
      </c>
    </row>
    <row r="6" spans="1:5" x14ac:dyDescent="0.25">
      <c r="A6">
        <v>2018</v>
      </c>
      <c r="B6">
        <v>7</v>
      </c>
    </row>
    <row r="7" spans="1:5" x14ac:dyDescent="0.25">
      <c r="A7">
        <v>2019</v>
      </c>
      <c r="B7">
        <v>24</v>
      </c>
    </row>
    <row r="8" spans="1:5" x14ac:dyDescent="0.25">
      <c r="A8">
        <v>2020</v>
      </c>
      <c r="B8">
        <v>35</v>
      </c>
    </row>
    <row r="9" spans="1:5" x14ac:dyDescent="0.25">
      <c r="A9">
        <v>2021</v>
      </c>
      <c r="B9">
        <v>27</v>
      </c>
    </row>
    <row r="10" spans="1:5" x14ac:dyDescent="0.25">
      <c r="A10">
        <v>2022</v>
      </c>
      <c r="B10">
        <v>35</v>
      </c>
    </row>
    <row r="11" spans="1:5" x14ac:dyDescent="0.25">
      <c r="A11">
        <v>2023</v>
      </c>
      <c r="B11">
        <v>23</v>
      </c>
      <c r="C11">
        <v>23</v>
      </c>
      <c r="D11" s="1">
        <v>23</v>
      </c>
      <c r="E11" s="1">
        <v>23</v>
      </c>
    </row>
    <row r="12" spans="1:5" x14ac:dyDescent="0.25">
      <c r="A12">
        <v>2024</v>
      </c>
      <c r="C12" s="2">
        <f t="shared" ref="C12:C21" si="0">_xlfn.FORECAST.ETS(A12,$B$3:$B$11,$A$3:$A$11,1,1)</f>
        <v>39.869648234979465</v>
      </c>
      <c r="D12" s="1">
        <f t="shared" ref="D12:D21" si="1">C12-_xlfn.FORECAST.ETS.CONFINT(A12,$B$3:$B$11,$A$3:$A$11,0.95,1,1)</f>
        <v>24.48181856716111</v>
      </c>
      <c r="E12" s="1">
        <f t="shared" ref="E12:E21" si="2">C12+_xlfn.FORECAST.ETS.CONFINT(A12,$B$3:$B$11,$A$3:$A$11,0.95,1,1)</f>
        <v>55.257477902797817</v>
      </c>
    </row>
    <row r="13" spans="1:5" x14ac:dyDescent="0.25">
      <c r="A13">
        <v>2025</v>
      </c>
      <c r="C13" s="2">
        <f t="shared" si="0"/>
        <v>35.302245523401801</v>
      </c>
      <c r="D13" s="1">
        <f t="shared" si="1"/>
        <v>19.914346610505742</v>
      </c>
      <c r="E13" s="1">
        <f t="shared" si="2"/>
        <v>50.690144436297857</v>
      </c>
    </row>
    <row r="14" spans="1:5" x14ac:dyDescent="0.25">
      <c r="A14">
        <v>2026</v>
      </c>
      <c r="C14" s="2">
        <f t="shared" si="0"/>
        <v>46.318533297848482</v>
      </c>
      <c r="D14" s="1">
        <f t="shared" si="1"/>
        <v>29.08674035000557</v>
      </c>
      <c r="E14" s="1">
        <f t="shared" si="2"/>
        <v>63.550326245691394</v>
      </c>
    </row>
    <row r="15" spans="1:5" x14ac:dyDescent="0.25">
      <c r="A15">
        <v>2027</v>
      </c>
      <c r="C15" s="2">
        <f t="shared" si="0"/>
        <v>41.751130586270818</v>
      </c>
      <c r="D15" s="1">
        <f t="shared" si="1"/>
        <v>24.519165874437292</v>
      </c>
      <c r="E15" s="1">
        <f t="shared" si="2"/>
        <v>58.983095298104345</v>
      </c>
    </row>
    <row r="16" spans="1:5" x14ac:dyDescent="0.25">
      <c r="A16">
        <v>2028</v>
      </c>
      <c r="C16" s="2">
        <f t="shared" si="0"/>
        <v>52.7674183607175</v>
      </c>
      <c r="D16" s="1">
        <f t="shared" si="1"/>
        <v>33.857998237839425</v>
      </c>
      <c r="E16" s="1">
        <f t="shared" si="2"/>
        <v>71.676838483595574</v>
      </c>
    </row>
    <row r="17" spans="1:5" x14ac:dyDescent="0.25">
      <c r="A17">
        <v>2029</v>
      </c>
      <c r="C17" s="2">
        <f t="shared" si="0"/>
        <v>48.200015649139829</v>
      </c>
      <c r="D17" s="1">
        <f t="shared" si="1"/>
        <v>29.290288737751109</v>
      </c>
      <c r="E17" s="1">
        <f t="shared" si="2"/>
        <v>67.109742560528545</v>
      </c>
    </row>
    <row r="18" spans="1:5" x14ac:dyDescent="0.25">
      <c r="A18">
        <v>2030</v>
      </c>
      <c r="C18" s="2">
        <f t="shared" si="0"/>
        <v>59.216303423586517</v>
      </c>
      <c r="D18" s="1">
        <f t="shared" si="1"/>
        <v>38.754545580987717</v>
      </c>
      <c r="E18" s="1">
        <f t="shared" si="2"/>
        <v>79.678061266185324</v>
      </c>
    </row>
    <row r="19" spans="1:5" x14ac:dyDescent="0.25">
      <c r="A19">
        <v>2031</v>
      </c>
      <c r="C19" s="2">
        <f t="shared" si="0"/>
        <v>54.648900712008853</v>
      </c>
      <c r="D19" s="1">
        <f t="shared" si="1"/>
        <v>34.18667420513512</v>
      </c>
      <c r="E19" s="1">
        <f t="shared" si="2"/>
        <v>75.111127218882586</v>
      </c>
    </row>
    <row r="20" spans="1:5" x14ac:dyDescent="0.25">
      <c r="A20">
        <v>2032</v>
      </c>
      <c r="C20" s="2">
        <f t="shared" si="0"/>
        <v>65.665188486455534</v>
      </c>
      <c r="D20" s="1">
        <f t="shared" si="1"/>
        <v>43.749655852291689</v>
      </c>
      <c r="E20" s="1">
        <f t="shared" si="2"/>
        <v>87.580721120619387</v>
      </c>
    </row>
    <row r="21" spans="1:5" x14ac:dyDescent="0.25">
      <c r="A21">
        <v>2033</v>
      </c>
      <c r="C21" s="2">
        <f t="shared" si="0"/>
        <v>61.097785774877863</v>
      </c>
      <c r="D21" s="1">
        <f t="shared" si="1"/>
        <v>39.181599481167261</v>
      </c>
      <c r="E21" s="1">
        <f t="shared" si="2"/>
        <v>83.013972068588458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4" t="s">
        <v>14</v>
      </c>
      <c r="B1" s="4"/>
      <c r="C1" s="4"/>
      <c r="D1" s="4"/>
      <c r="E1" s="4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2017</v>
      </c>
      <c r="B3">
        <v>10</v>
      </c>
    </row>
    <row r="4" spans="1:5" x14ac:dyDescent="0.25">
      <c r="A4">
        <v>2018</v>
      </c>
      <c r="B4">
        <v>27</v>
      </c>
    </row>
    <row r="5" spans="1:5" x14ac:dyDescent="0.25">
      <c r="A5">
        <v>2019</v>
      </c>
      <c r="B5">
        <v>18</v>
      </c>
    </row>
    <row r="6" spans="1:5" x14ac:dyDescent="0.25">
      <c r="A6">
        <v>2020</v>
      </c>
      <c r="B6">
        <v>24</v>
      </c>
    </row>
    <row r="7" spans="1:5" x14ac:dyDescent="0.25">
      <c r="A7">
        <v>2021</v>
      </c>
      <c r="B7">
        <v>29</v>
      </c>
    </row>
    <row r="8" spans="1:5" x14ac:dyDescent="0.25">
      <c r="A8">
        <v>2022</v>
      </c>
      <c r="B8">
        <v>29</v>
      </c>
    </row>
    <row r="9" spans="1:5" x14ac:dyDescent="0.25">
      <c r="A9">
        <v>2023</v>
      </c>
      <c r="B9">
        <v>16</v>
      </c>
      <c r="C9">
        <v>16</v>
      </c>
      <c r="D9" s="1">
        <v>16</v>
      </c>
      <c r="E9" s="1">
        <v>16</v>
      </c>
    </row>
    <row r="10" spans="1:5" x14ac:dyDescent="0.25">
      <c r="A10">
        <v>2024</v>
      </c>
      <c r="C10" s="2">
        <f t="shared" ref="C10:C19" si="0">_xlfn.FORECAST.ETS(A10,$B$3:$B$9,$A$3:$A$9,1,1)</f>
        <v>23.886846919792841</v>
      </c>
      <c r="D10" s="1">
        <f t="shared" ref="D10:D19" si="1">C10-_xlfn.FORECAST.ETS.CONFINT(A10,$B$3:$B$9,$A$3:$A$9,0.95,1,1)</f>
        <v>7.6099175737999047</v>
      </c>
      <c r="E10" s="1">
        <f t="shared" ref="E10:E19" si="2">C10+_xlfn.FORECAST.ETS.CONFINT(A10,$B$3:$B$9,$A$3:$A$9,0.95,1,1)</f>
        <v>40.163776265785778</v>
      </c>
    </row>
    <row r="11" spans="1:5" x14ac:dyDescent="0.25">
      <c r="A11">
        <v>2025</v>
      </c>
      <c r="C11" s="2">
        <f t="shared" si="0"/>
        <v>25.076482189926637</v>
      </c>
      <c r="D11" s="1">
        <f t="shared" si="1"/>
        <v>6.8710368634475039</v>
      </c>
      <c r="E11" s="1">
        <f t="shared" si="2"/>
        <v>43.281927516405773</v>
      </c>
    </row>
    <row r="12" spans="1:5" x14ac:dyDescent="0.25">
      <c r="A12">
        <v>2026</v>
      </c>
      <c r="C12" s="2">
        <f t="shared" si="0"/>
        <v>26.26611746006045</v>
      </c>
      <c r="D12" s="1">
        <f t="shared" si="1"/>
        <v>6.3110734014617051</v>
      </c>
      <c r="E12" s="1">
        <f t="shared" si="2"/>
        <v>46.221161518659194</v>
      </c>
    </row>
    <row r="13" spans="1:5" x14ac:dyDescent="0.25">
      <c r="A13">
        <v>2027</v>
      </c>
      <c r="C13" s="2">
        <f t="shared" si="0"/>
        <v>27.455752730194249</v>
      </c>
      <c r="D13" s="1">
        <f t="shared" si="1"/>
        <v>5.8864321487087885</v>
      </c>
      <c r="E13" s="1">
        <f t="shared" si="2"/>
        <v>49.025073311679705</v>
      </c>
    </row>
    <row r="14" spans="1:5" x14ac:dyDescent="0.25">
      <c r="A14">
        <v>2028</v>
      </c>
      <c r="C14" s="2">
        <f t="shared" si="0"/>
        <v>28.645388000328058</v>
      </c>
      <c r="D14" s="1">
        <f t="shared" si="1"/>
        <v>5.5686856728484067</v>
      </c>
      <c r="E14" s="1">
        <f t="shared" si="2"/>
        <v>51.722090327807706</v>
      </c>
    </row>
    <row r="15" spans="1:5" x14ac:dyDescent="0.25">
      <c r="A15">
        <v>2029</v>
      </c>
      <c r="C15" s="2">
        <f t="shared" si="0"/>
        <v>29.835023270461857</v>
      </c>
      <c r="D15" s="1">
        <f t="shared" si="1"/>
        <v>5.3380823767479697</v>
      </c>
      <c r="E15" s="1">
        <f t="shared" si="2"/>
        <v>54.331964164175744</v>
      </c>
    </row>
    <row r="16" spans="1:5" x14ac:dyDescent="0.25">
      <c r="A16">
        <v>2030</v>
      </c>
      <c r="C16" s="2">
        <f t="shared" si="0"/>
        <v>31.02465854059567</v>
      </c>
      <c r="D16" s="1">
        <f t="shared" si="1"/>
        <v>5.180241566309487</v>
      </c>
      <c r="E16" s="1">
        <f t="shared" si="2"/>
        <v>56.869075514881857</v>
      </c>
    </row>
    <row r="17" spans="1:5" x14ac:dyDescent="0.25">
      <c r="A17">
        <v>2031</v>
      </c>
      <c r="C17" s="2">
        <f t="shared" si="0"/>
        <v>32.214293810729473</v>
      </c>
      <c r="D17" s="1">
        <f t="shared" si="1"/>
        <v>5.0843095320767802</v>
      </c>
      <c r="E17" s="1">
        <f t="shared" si="2"/>
        <v>59.344278089382165</v>
      </c>
    </row>
    <row r="18" spans="1:5" x14ac:dyDescent="0.25">
      <c r="A18">
        <v>2032</v>
      </c>
      <c r="C18" s="2">
        <f t="shared" si="0"/>
        <v>33.403929080863279</v>
      </c>
      <c r="D18" s="1">
        <f t="shared" si="1"/>
        <v>5.0418572650653175</v>
      </c>
      <c r="E18" s="1">
        <f t="shared" si="2"/>
        <v>61.766000896661239</v>
      </c>
    </row>
    <row r="19" spans="1:5" x14ac:dyDescent="0.25">
      <c r="A19">
        <v>2033</v>
      </c>
      <c r="C19" s="2">
        <f t="shared" si="0"/>
        <v>34.593564350997084</v>
      </c>
      <c r="D19" s="1">
        <f t="shared" si="1"/>
        <v>5.0461849275821216</v>
      </c>
      <c r="E19" s="1">
        <f t="shared" si="2"/>
        <v>64.140943774412051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4" t="s">
        <v>13</v>
      </c>
      <c r="B1" s="4"/>
      <c r="C1" s="4"/>
      <c r="D1" s="4"/>
      <c r="E1" s="4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6</v>
      </c>
    </row>
    <row r="4" spans="1:5" x14ac:dyDescent="0.25">
      <c r="A4">
        <v>2015</v>
      </c>
      <c r="B4">
        <v>31</v>
      </c>
    </row>
    <row r="5" spans="1:5" x14ac:dyDescent="0.25">
      <c r="A5">
        <v>2016</v>
      </c>
      <c r="B5">
        <v>33</v>
      </c>
    </row>
    <row r="6" spans="1:5" x14ac:dyDescent="0.25">
      <c r="A6">
        <v>2017</v>
      </c>
      <c r="B6">
        <v>18</v>
      </c>
    </row>
    <row r="7" spans="1:5" x14ac:dyDescent="0.25">
      <c r="A7">
        <v>2018</v>
      </c>
      <c r="B7">
        <v>24</v>
      </c>
    </row>
    <row r="8" spans="1:5" x14ac:dyDescent="0.25">
      <c r="A8">
        <v>2019</v>
      </c>
      <c r="B8">
        <v>19</v>
      </c>
    </row>
    <row r="9" spans="1:5" x14ac:dyDescent="0.25">
      <c r="A9">
        <v>2020</v>
      </c>
      <c r="B9">
        <v>29</v>
      </c>
    </row>
    <row r="10" spans="1:5" x14ac:dyDescent="0.25">
      <c r="A10">
        <v>2021</v>
      </c>
      <c r="B10">
        <v>43</v>
      </c>
    </row>
    <row r="11" spans="1:5" x14ac:dyDescent="0.25">
      <c r="A11">
        <v>2022</v>
      </c>
      <c r="B11">
        <v>45</v>
      </c>
    </row>
    <row r="12" spans="1:5" x14ac:dyDescent="0.25">
      <c r="A12">
        <v>2023</v>
      </c>
      <c r="B12">
        <v>35</v>
      </c>
      <c r="C12" s="2">
        <v>35</v>
      </c>
      <c r="D12" s="1">
        <v>35</v>
      </c>
      <c r="E12" s="1">
        <v>35</v>
      </c>
    </row>
    <row r="13" spans="1:5" x14ac:dyDescent="0.25">
      <c r="A13">
        <v>2024</v>
      </c>
      <c r="C13" s="2">
        <f t="shared" ref="C13:C22" si="0">_xlfn.FORECAST.ETS(A13,$B$3:$B$12,$A$3:$A$12,1,1)</f>
        <v>42.477623135940902</v>
      </c>
      <c r="D13" s="1">
        <f t="shared" ref="D13:D22" si="1">C13-_xlfn.FORECAST.ETS.CONFINT(A13,$B$3:$B$12,$A$3:$A$12,0.95,1,1)</f>
        <v>21.732328933534401</v>
      </c>
      <c r="E13" s="1">
        <f t="shared" ref="E13:E22" si="2">C13+_xlfn.FORECAST.ETS.CONFINT(A13,$B$3:$B$12,$A$3:$A$12,0.95,1,1)</f>
        <v>63.222917338347401</v>
      </c>
    </row>
    <row r="14" spans="1:5" x14ac:dyDescent="0.25">
      <c r="A14">
        <v>2025</v>
      </c>
      <c r="C14" s="2">
        <f t="shared" si="0"/>
        <v>45.164900972537637</v>
      </c>
      <c r="D14" s="1">
        <f t="shared" si="1"/>
        <v>23.776100223105011</v>
      </c>
      <c r="E14" s="1">
        <f t="shared" si="2"/>
        <v>66.55370172197027</v>
      </c>
    </row>
    <row r="15" spans="1:5" x14ac:dyDescent="0.25">
      <c r="A15">
        <v>2026</v>
      </c>
      <c r="C15" s="2">
        <f t="shared" si="0"/>
        <v>47.852178809134365</v>
      </c>
      <c r="D15" s="1">
        <f t="shared" si="1"/>
        <v>25.833758380526746</v>
      </c>
      <c r="E15" s="1">
        <f t="shared" si="2"/>
        <v>69.870599237741985</v>
      </c>
    </row>
    <row r="16" spans="1:5" x14ac:dyDescent="0.25">
      <c r="A16">
        <v>2027</v>
      </c>
      <c r="C16" s="2">
        <f t="shared" si="0"/>
        <v>50.5394566457311</v>
      </c>
      <c r="D16" s="1">
        <f t="shared" si="1"/>
        <v>27.904125539364426</v>
      </c>
      <c r="E16" s="1">
        <f t="shared" si="2"/>
        <v>73.174787752097771</v>
      </c>
    </row>
    <row r="17" spans="1:5" x14ac:dyDescent="0.25">
      <c r="A17">
        <v>2028</v>
      </c>
      <c r="C17" s="2">
        <f t="shared" si="0"/>
        <v>53.226734482327828</v>
      </c>
      <c r="D17" s="1">
        <f t="shared" si="1"/>
        <v>29.986171094036884</v>
      </c>
      <c r="E17" s="1">
        <f t="shared" si="2"/>
        <v>76.467297870618779</v>
      </c>
    </row>
    <row r="18" spans="1:5" x14ac:dyDescent="0.25">
      <c r="A18">
        <v>2029</v>
      </c>
      <c r="C18" s="2">
        <f t="shared" si="0"/>
        <v>55.914012318924563</v>
      </c>
      <c r="D18" s="1">
        <f t="shared" si="1"/>
        <v>32.078987338103921</v>
      </c>
      <c r="E18" s="1">
        <f t="shared" si="2"/>
        <v>79.749037299745197</v>
      </c>
    </row>
    <row r="19" spans="1:5" x14ac:dyDescent="0.25">
      <c r="A19">
        <v>2030</v>
      </c>
      <c r="C19" s="2">
        <f t="shared" si="0"/>
        <v>58.601290155521291</v>
      </c>
      <c r="D19" s="1">
        <f t="shared" si="1"/>
        <v>34.181770038966214</v>
      </c>
      <c r="E19" s="1">
        <f t="shared" si="2"/>
        <v>83.020810272076375</v>
      </c>
    </row>
    <row r="20" spans="1:5" x14ac:dyDescent="0.25">
      <c r="A20">
        <v>2031</v>
      </c>
      <c r="C20" s="2">
        <f t="shared" si="0"/>
        <v>61.288567992118018</v>
      </c>
      <c r="D20" s="1">
        <f t="shared" si="1"/>
        <v>36.293802780195861</v>
      </c>
      <c r="E20" s="1">
        <f t="shared" si="2"/>
        <v>86.283333204040176</v>
      </c>
    </row>
    <row r="21" spans="1:5" x14ac:dyDescent="0.25">
      <c r="A21">
        <v>2032</v>
      </c>
      <c r="C21" s="2">
        <f t="shared" si="0"/>
        <v>63.975845828714753</v>
      </c>
      <c r="D21" s="1">
        <f t="shared" si="1"/>
        <v>38.4144442161342</v>
      </c>
      <c r="E21" s="1">
        <f t="shared" si="2"/>
        <v>89.537247441295307</v>
      </c>
    </row>
    <row r="22" spans="1:5" x14ac:dyDescent="0.25">
      <c r="A22">
        <v>2033</v>
      </c>
      <c r="C22" s="2">
        <f t="shared" si="0"/>
        <v>66.663123665311488</v>
      </c>
      <c r="D22" s="1">
        <f t="shared" si="1"/>
        <v>40.543117603695315</v>
      </c>
      <c r="E22" s="1">
        <f t="shared" si="2"/>
        <v>92.783129726927655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K4" sqref="K4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s="4" t="s">
        <v>12</v>
      </c>
      <c r="B1" s="4"/>
      <c r="C1" s="4"/>
      <c r="D1" s="4"/>
      <c r="E1" s="4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2014</v>
      </c>
      <c r="B3">
        <v>109</v>
      </c>
    </row>
    <row r="4" spans="1:5" x14ac:dyDescent="0.25">
      <c r="A4">
        <v>2015</v>
      </c>
      <c r="B4">
        <v>68</v>
      </c>
    </row>
    <row r="5" spans="1:5" x14ac:dyDescent="0.25">
      <c r="A5">
        <v>2016</v>
      </c>
      <c r="B5">
        <v>56</v>
      </c>
    </row>
    <row r="6" spans="1:5" x14ac:dyDescent="0.25">
      <c r="A6">
        <v>2017</v>
      </c>
      <c r="B6">
        <v>55</v>
      </c>
    </row>
    <row r="7" spans="1:5" x14ac:dyDescent="0.25">
      <c r="A7">
        <v>2018</v>
      </c>
      <c r="B7">
        <v>54</v>
      </c>
    </row>
    <row r="8" spans="1:5" x14ac:dyDescent="0.25">
      <c r="A8">
        <v>2019</v>
      </c>
      <c r="B8">
        <v>73</v>
      </c>
    </row>
    <row r="9" spans="1:5" x14ac:dyDescent="0.25">
      <c r="A9">
        <v>2020</v>
      </c>
      <c r="B9">
        <v>47</v>
      </c>
    </row>
    <row r="10" spans="1:5" x14ac:dyDescent="0.25">
      <c r="A10">
        <v>2021</v>
      </c>
      <c r="B10">
        <v>52</v>
      </c>
    </row>
    <row r="11" spans="1:5" x14ac:dyDescent="0.25">
      <c r="A11">
        <v>2022</v>
      </c>
      <c r="B11">
        <v>44</v>
      </c>
    </row>
    <row r="12" spans="1:5" x14ac:dyDescent="0.25">
      <c r="A12">
        <v>2023</v>
      </c>
      <c r="B12">
        <v>37</v>
      </c>
      <c r="C12">
        <v>37</v>
      </c>
      <c r="D12" s="1">
        <v>37</v>
      </c>
      <c r="E12" s="1">
        <v>37</v>
      </c>
    </row>
    <row r="13" spans="1:5" x14ac:dyDescent="0.25">
      <c r="A13">
        <v>2024</v>
      </c>
      <c r="C13" s="2">
        <f t="shared" ref="C13:C22" si="0">_xlfn.FORECAST.ETS(A13,$B$3:$B$12,$A$3:$A$12,1,1)</f>
        <v>32.082682825608146</v>
      </c>
      <c r="D13" s="1">
        <f t="shared" ref="D13:D22" si="1">C13-_xlfn.FORECAST.ETS.CONFINT(A13,$B$3:$B$12,$A$3:$A$12,0.95,1,1)</f>
        <v>1.411332844138208</v>
      </c>
      <c r="E13" s="1">
        <f t="shared" ref="E13:E22" si="2">C13+_xlfn.FORECAST.ETS.CONFINT(A13,$B$3:$B$12,$A$3:$A$12,0.95,1,1)</f>
        <v>62.754032807078083</v>
      </c>
    </row>
    <row r="14" spans="1:5" x14ac:dyDescent="0.25">
      <c r="A14">
        <v>2025</v>
      </c>
      <c r="C14" s="2">
        <f t="shared" si="0"/>
        <v>26.957205266797057</v>
      </c>
      <c r="D14" s="1">
        <f t="shared" si="1"/>
        <v>-14.32740024591762</v>
      </c>
      <c r="E14" s="1">
        <f t="shared" si="2"/>
        <v>68.241810779511738</v>
      </c>
    </row>
    <row r="15" spans="1:5" x14ac:dyDescent="0.25">
      <c r="A15">
        <v>2026</v>
      </c>
      <c r="C15" s="2">
        <f t="shared" si="0"/>
        <v>21.831727707985952</v>
      </c>
      <c r="D15" s="1">
        <f t="shared" si="1"/>
        <v>-27.865372149728987</v>
      </c>
      <c r="E15" s="1">
        <f t="shared" si="2"/>
        <v>71.528827565700894</v>
      </c>
    </row>
    <row r="16" spans="1:5" x14ac:dyDescent="0.25">
      <c r="A16">
        <v>2027</v>
      </c>
      <c r="C16" s="2">
        <f t="shared" si="0"/>
        <v>16.706250149174863</v>
      </c>
      <c r="D16" s="1">
        <f t="shared" si="1"/>
        <v>-40.187359658350026</v>
      </c>
      <c r="E16" s="1">
        <f t="shared" si="2"/>
        <v>73.59985995669976</v>
      </c>
    </row>
    <row r="17" spans="1:5" x14ac:dyDescent="0.25">
      <c r="A17">
        <v>2028</v>
      </c>
      <c r="C17" s="2">
        <f t="shared" si="0"/>
        <v>11.580772590363761</v>
      </c>
      <c r="D17" s="1">
        <f t="shared" si="1"/>
        <v>-51.709541374677499</v>
      </c>
      <c r="E17" s="1">
        <f t="shared" si="2"/>
        <v>74.871086555405014</v>
      </c>
    </row>
    <row r="18" spans="1:5" x14ac:dyDescent="0.25">
      <c r="A18">
        <v>2029</v>
      </c>
      <c r="C18" s="2">
        <f t="shared" si="0"/>
        <v>6.4552950315526685</v>
      </c>
      <c r="D18" s="1">
        <f t="shared" si="1"/>
        <v>-62.654376001660339</v>
      </c>
      <c r="E18" s="1">
        <f t="shared" si="2"/>
        <v>75.56496606476567</v>
      </c>
    </row>
    <row r="19" spans="1:5" x14ac:dyDescent="0.25">
      <c r="A19">
        <v>2030</v>
      </c>
      <c r="C19" s="2">
        <f t="shared" si="0"/>
        <v>1.3298174727415715</v>
      </c>
      <c r="D19" s="1">
        <f t="shared" si="1"/>
        <v>-73.157316207986057</v>
      </c>
      <c r="E19" s="1">
        <f t="shared" si="2"/>
        <v>75.816951153469191</v>
      </c>
    </row>
    <row r="20" spans="1:5" x14ac:dyDescent="0.25">
      <c r="A20">
        <v>2031</v>
      </c>
      <c r="C20" s="2">
        <f t="shared" si="0"/>
        <v>-3.795660086069522</v>
      </c>
      <c r="D20" s="1">
        <f t="shared" si="1"/>
        <v>-83.308081029038632</v>
      </c>
      <c r="E20" s="1">
        <f t="shared" si="2"/>
        <v>75.716760856899597</v>
      </c>
    </row>
    <row r="21" spans="1:5" x14ac:dyDescent="0.25">
      <c r="A21">
        <v>2032</v>
      </c>
      <c r="C21" s="2">
        <f t="shared" si="0"/>
        <v>-8.921137644880627</v>
      </c>
      <c r="D21" s="1">
        <f t="shared" si="1"/>
        <v>-93.169725244355092</v>
      </c>
      <c r="E21" s="1">
        <f t="shared" si="2"/>
        <v>75.327449954593831</v>
      </c>
    </row>
    <row r="22" spans="1:5" x14ac:dyDescent="0.25">
      <c r="A22">
        <v>2033</v>
      </c>
      <c r="C22" s="2">
        <f t="shared" si="0"/>
        <v>-14.046615203691712</v>
      </c>
      <c r="D22" s="1">
        <f t="shared" si="1"/>
        <v>-102.78856272749371</v>
      </c>
      <c r="E22" s="1">
        <f t="shared" si="2"/>
        <v>74.695332320110282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H2" sqref="H2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2019</v>
      </c>
      <c r="B3">
        <v>6</v>
      </c>
    </row>
    <row r="4" spans="1:5" x14ac:dyDescent="0.25">
      <c r="A4">
        <v>2020</v>
      </c>
      <c r="B4">
        <v>16</v>
      </c>
    </row>
    <row r="5" spans="1:5" x14ac:dyDescent="0.25">
      <c r="A5">
        <v>2021</v>
      </c>
      <c r="B5">
        <v>19</v>
      </c>
    </row>
    <row r="6" spans="1:5" x14ac:dyDescent="0.25">
      <c r="A6">
        <v>2022</v>
      </c>
      <c r="B6">
        <v>23</v>
      </c>
    </row>
    <row r="7" spans="1:5" x14ac:dyDescent="0.25">
      <c r="A7">
        <v>2023</v>
      </c>
      <c r="B7">
        <v>22</v>
      </c>
      <c r="C7">
        <v>22</v>
      </c>
      <c r="D7" s="1">
        <v>22</v>
      </c>
      <c r="E7" s="1">
        <v>22</v>
      </c>
    </row>
    <row r="8" spans="1:5" x14ac:dyDescent="0.25">
      <c r="A8">
        <v>2024</v>
      </c>
      <c r="C8" s="2">
        <f t="shared" ref="C8:C17" si="0">_xlfn.FORECAST.ETS(A8,$B$3:$B$7,$A$3:$A$7,1,1)</f>
        <v>27.738255273479446</v>
      </c>
      <c r="D8" s="1">
        <f t="shared" ref="D8:D17" si="1">C8-_xlfn.FORECAST.ETS.CONFINT(A8,$B$3:$B$7,$A$3:$A$7,0.95,1,1)</f>
        <v>20.764921080713364</v>
      </c>
      <c r="E8" s="1">
        <f t="shared" ref="E8:E17" si="2">C8+_xlfn.FORECAST.ETS.CONFINT(A8,$B$3:$B$7,$A$3:$A$7,0.95,1,1)</f>
        <v>34.711589466245528</v>
      </c>
    </row>
    <row r="9" spans="1:5" x14ac:dyDescent="0.25">
      <c r="A9">
        <v>2025</v>
      </c>
      <c r="C9" s="2">
        <f t="shared" si="0"/>
        <v>31.472955083108889</v>
      </c>
      <c r="D9" s="1">
        <f t="shared" si="1"/>
        <v>23.673409376969687</v>
      </c>
      <c r="E9" s="1">
        <f t="shared" si="2"/>
        <v>39.272500789248092</v>
      </c>
    </row>
    <row r="10" spans="1:5" x14ac:dyDescent="0.25">
      <c r="A10">
        <v>2026</v>
      </c>
      <c r="C10" s="2">
        <f t="shared" si="0"/>
        <v>35.207654892738333</v>
      </c>
      <c r="D10" s="1">
        <f t="shared" si="1"/>
        <v>26.658549094338031</v>
      </c>
      <c r="E10" s="1">
        <f t="shared" si="2"/>
        <v>43.756760691138638</v>
      </c>
    </row>
    <row r="11" spans="1:5" x14ac:dyDescent="0.25">
      <c r="A11">
        <v>2027</v>
      </c>
      <c r="C11" s="2">
        <f t="shared" si="0"/>
        <v>38.94235470236778</v>
      </c>
      <c r="D11" s="1">
        <f t="shared" si="1"/>
        <v>29.701663320818362</v>
      </c>
      <c r="E11" s="1">
        <f t="shared" si="2"/>
        <v>48.183046083917198</v>
      </c>
    </row>
    <row r="12" spans="1:5" x14ac:dyDescent="0.25">
      <c r="A12">
        <v>2028</v>
      </c>
      <c r="C12" s="2">
        <f t="shared" si="0"/>
        <v>42.67705451199722</v>
      </c>
      <c r="D12" s="1">
        <f t="shared" si="1"/>
        <v>32.790573224535336</v>
      </c>
      <c r="E12" s="1">
        <f t="shared" si="2"/>
        <v>52.563535799459103</v>
      </c>
    </row>
    <row r="13" spans="1:5" x14ac:dyDescent="0.25">
      <c r="A13">
        <v>2029</v>
      </c>
      <c r="C13" s="2">
        <f t="shared" si="0"/>
        <v>46.41175432162666</v>
      </c>
      <c r="D13" s="1">
        <f t="shared" si="1"/>
        <v>35.91681686007415</v>
      </c>
      <c r="E13" s="1">
        <f t="shared" si="2"/>
        <v>56.90669178317917</v>
      </c>
    </row>
    <row r="14" spans="1:5" x14ac:dyDescent="0.25">
      <c r="A14">
        <v>2030</v>
      </c>
      <c r="C14" s="2">
        <f t="shared" si="0"/>
        <v>50.146454131256107</v>
      </c>
      <c r="D14" s="1">
        <f t="shared" si="1"/>
        <v>39.074233275099289</v>
      </c>
      <c r="E14" s="1">
        <f t="shared" si="2"/>
        <v>61.218674987412925</v>
      </c>
    </row>
    <row r="15" spans="1:5" x14ac:dyDescent="0.25">
      <c r="A15">
        <v>2031</v>
      </c>
      <c r="C15" s="2">
        <f t="shared" si="0"/>
        <v>53.881153940885554</v>
      </c>
      <c r="D15" s="1">
        <f t="shared" si="1"/>
        <v>42.258172541994796</v>
      </c>
      <c r="E15" s="1">
        <f t="shared" si="2"/>
        <v>65.504135339776312</v>
      </c>
    </row>
    <row r="16" spans="1:5" x14ac:dyDescent="0.25">
      <c r="A16">
        <v>2032</v>
      </c>
      <c r="C16" s="2">
        <f t="shared" si="0"/>
        <v>57.615853750515001</v>
      </c>
      <c r="D16" s="1">
        <f t="shared" si="1"/>
        <v>45.465023519167943</v>
      </c>
      <c r="E16" s="1">
        <f t="shared" si="2"/>
        <v>69.766683981862059</v>
      </c>
    </row>
    <row r="17" spans="1:5" x14ac:dyDescent="0.25">
      <c r="A17">
        <v>2033</v>
      </c>
      <c r="C17" s="2">
        <f t="shared" si="0"/>
        <v>61.350553560144434</v>
      </c>
      <c r="D17" s="1">
        <f t="shared" si="1"/>
        <v>48.691915873629164</v>
      </c>
      <c r="E17" s="1">
        <f t="shared" si="2"/>
        <v>74.009191246659697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L8" sqref="L8"/>
    </sheetView>
  </sheetViews>
  <sheetFormatPr defaultColWidth="8.85546875" defaultRowHeight="15" x14ac:dyDescent="0.25"/>
  <cols>
    <col min="2" max="2" width="10.28515625" customWidth="1"/>
    <col min="3" max="3" width="18.7109375" customWidth="1"/>
    <col min="4" max="4" width="32.28515625" customWidth="1"/>
    <col min="5" max="5" width="32.42578125" customWidth="1"/>
  </cols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2014</v>
      </c>
      <c r="B2">
        <v>1103</v>
      </c>
    </row>
    <row r="3" spans="1:5" x14ac:dyDescent="0.25">
      <c r="A3">
        <v>2015</v>
      </c>
      <c r="B3">
        <v>1009</v>
      </c>
    </row>
    <row r="4" spans="1:5" x14ac:dyDescent="0.25">
      <c r="A4">
        <v>2016</v>
      </c>
      <c r="B4">
        <v>991</v>
      </c>
    </row>
    <row r="5" spans="1:5" x14ac:dyDescent="0.25">
      <c r="A5">
        <v>2017</v>
      </c>
      <c r="B5">
        <v>908</v>
      </c>
    </row>
    <row r="6" spans="1:5" x14ac:dyDescent="0.25">
      <c r="A6">
        <v>2018</v>
      </c>
      <c r="B6">
        <v>1112</v>
      </c>
    </row>
    <row r="7" spans="1:5" x14ac:dyDescent="0.25">
      <c r="A7">
        <v>2019</v>
      </c>
      <c r="B7">
        <v>977</v>
      </c>
    </row>
    <row r="8" spans="1:5" x14ac:dyDescent="0.25">
      <c r="A8">
        <v>2020</v>
      </c>
      <c r="B8">
        <v>1242</v>
      </c>
    </row>
    <row r="9" spans="1:5" x14ac:dyDescent="0.25">
      <c r="A9">
        <v>2021</v>
      </c>
      <c r="B9">
        <v>1410</v>
      </c>
    </row>
    <row r="10" spans="1:5" x14ac:dyDescent="0.25">
      <c r="A10">
        <v>2022</v>
      </c>
      <c r="B10">
        <v>1441</v>
      </c>
    </row>
    <row r="11" spans="1:5" x14ac:dyDescent="0.25">
      <c r="A11">
        <v>2023</v>
      </c>
      <c r="B11">
        <v>1127</v>
      </c>
      <c r="C11">
        <v>1127</v>
      </c>
      <c r="D11" s="1">
        <v>1127</v>
      </c>
      <c r="E11" s="1">
        <v>1127</v>
      </c>
    </row>
    <row r="12" spans="1:5" x14ac:dyDescent="0.25">
      <c r="A12">
        <v>2024</v>
      </c>
      <c r="C12" s="2">
        <f t="shared" ref="C12:C21" si="0">_xlfn.FORECAST.ETS(A12,$B$2:$B$11,$A$2:$A$11,1,1)</f>
        <v>1346.1831540066023</v>
      </c>
      <c r="D12" s="1">
        <f t="shared" ref="D12:D21" si="1">C12-_xlfn.FORECAST.ETS.CONFINT(A12,$B$2:$B$11,$A$2:$A$11,0.95,1,1)</f>
        <v>1031.2786152508106</v>
      </c>
      <c r="E12" s="1">
        <f t="shared" ref="E12:E21" si="2">C12+_xlfn.FORECAST.ETS.CONFINT(A12,$B$2:$B$11,$A$2:$A$11,0.95,1,1)</f>
        <v>1661.087692762394</v>
      </c>
    </row>
    <row r="13" spans="1:5" x14ac:dyDescent="0.25">
      <c r="A13">
        <v>2025</v>
      </c>
      <c r="C13" s="2">
        <f t="shared" si="0"/>
        <v>1383.2562619737851</v>
      </c>
      <c r="D13" s="1">
        <f t="shared" si="1"/>
        <v>1058.5835738535902</v>
      </c>
      <c r="E13" s="1">
        <f t="shared" si="2"/>
        <v>1707.9289500939799</v>
      </c>
    </row>
    <row r="14" spans="1:5" x14ac:dyDescent="0.25">
      <c r="A14">
        <v>2026</v>
      </c>
      <c r="C14" s="2">
        <f t="shared" si="0"/>
        <v>1420.3293699409678</v>
      </c>
      <c r="D14" s="1">
        <f t="shared" si="1"/>
        <v>1086.0993290675317</v>
      </c>
      <c r="E14" s="1">
        <f t="shared" si="2"/>
        <v>1754.5594108144039</v>
      </c>
    </row>
    <row r="15" spans="1:5" x14ac:dyDescent="0.25">
      <c r="A15">
        <v>2027</v>
      </c>
      <c r="C15" s="2">
        <f t="shared" si="0"/>
        <v>1457.4024779081506</v>
      </c>
      <c r="D15" s="1">
        <f t="shared" si="1"/>
        <v>1113.8080013926929</v>
      </c>
      <c r="E15" s="1">
        <f t="shared" si="2"/>
        <v>1800.9969544236083</v>
      </c>
    </row>
    <row r="16" spans="1:5" x14ac:dyDescent="0.25">
      <c r="A16">
        <v>2028</v>
      </c>
      <c r="C16" s="2">
        <f t="shared" si="0"/>
        <v>1494.4755858753333</v>
      </c>
      <c r="D16" s="1">
        <f t="shared" si="1"/>
        <v>1141.6939466848162</v>
      </c>
      <c r="E16" s="1">
        <f t="shared" si="2"/>
        <v>1847.2572250658504</v>
      </c>
    </row>
    <row r="17" spans="1:5" x14ac:dyDescent="0.25">
      <c r="A17">
        <v>2029</v>
      </c>
      <c r="C17" s="2">
        <f t="shared" si="0"/>
        <v>1531.5486938425161</v>
      </c>
      <c r="D17" s="1">
        <f t="shared" si="1"/>
        <v>1169.7433863551241</v>
      </c>
      <c r="E17" s="1">
        <f t="shared" si="2"/>
        <v>1893.354001329908</v>
      </c>
    </row>
    <row r="18" spans="1:5" x14ac:dyDescent="0.25">
      <c r="A18">
        <v>2030</v>
      </c>
      <c r="C18" s="2">
        <f t="shared" si="0"/>
        <v>1568.6218018096988</v>
      </c>
      <c r="D18" s="1">
        <f t="shared" si="1"/>
        <v>1197.9441125027179</v>
      </c>
      <c r="E18" s="1">
        <f t="shared" si="2"/>
        <v>1939.2994911166797</v>
      </c>
    </row>
    <row r="19" spans="1:5" x14ac:dyDescent="0.25">
      <c r="A19">
        <v>2031</v>
      </c>
      <c r="C19" s="2">
        <f t="shared" si="0"/>
        <v>1605.6949097768816</v>
      </c>
      <c r="D19" s="1">
        <f t="shared" si="1"/>
        <v>1226.2852502379678</v>
      </c>
      <c r="E19" s="1">
        <f t="shared" si="2"/>
        <v>1985.1045693157953</v>
      </c>
    </row>
    <row r="20" spans="1:5" x14ac:dyDescent="0.25">
      <c r="A20">
        <v>2032</v>
      </c>
      <c r="C20" s="2">
        <f t="shared" si="0"/>
        <v>1642.7680177440643</v>
      </c>
      <c r="D20" s="1">
        <f t="shared" si="1"/>
        <v>1254.7570642128544</v>
      </c>
      <c r="E20" s="1">
        <f t="shared" si="2"/>
        <v>2030.7789712752742</v>
      </c>
    </row>
    <row r="21" spans="1:5" x14ac:dyDescent="0.25">
      <c r="A21">
        <v>2033</v>
      </c>
      <c r="C21" s="2">
        <f t="shared" si="0"/>
        <v>1679.8411257112471</v>
      </c>
      <c r="D21" s="1">
        <f t="shared" si="1"/>
        <v>1283.3507997183012</v>
      </c>
      <c r="E21" s="1">
        <f t="shared" si="2"/>
        <v>2076.3314517041927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ACC</vt:lpstr>
      <vt:lpstr>CS</vt:lpstr>
      <vt:lpstr>IT</vt:lpstr>
      <vt:lpstr>ITI2</vt:lpstr>
      <vt:lpstr>Eco1</vt:lpstr>
      <vt:lpstr>SP</vt:lpstr>
      <vt:lpstr>EE</vt:lpstr>
      <vt:lpstr>CE</vt:lpstr>
      <vt:lpstr>BA</vt:lpstr>
      <vt:lpstr>BF</vt:lpstr>
      <vt:lpstr>PL</vt:lpstr>
      <vt:lpstr>MBBS</vt:lpstr>
      <vt:lpstr>MBL</vt:lpstr>
      <vt:lpstr>Nursing</vt:lpstr>
      <vt:lpstr>BHealth</vt:lpstr>
      <vt:lpstr>Pscience</vt:lpstr>
      <vt:lpstr>BAdmin</vt:lpstr>
      <vt:lpstr>BSW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iNetLab</cp:lastModifiedBy>
  <dcterms:created xsi:type="dcterms:W3CDTF">2024-06-10T11:56:24Z</dcterms:created>
  <dcterms:modified xsi:type="dcterms:W3CDTF">2024-06-16T08:52:43Z</dcterms:modified>
</cp:coreProperties>
</file>